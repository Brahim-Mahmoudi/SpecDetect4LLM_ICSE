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System Message" sheetId="1" r:id="rId4"/>
    <sheet state="visible" name="No Model Version Pinning" sheetId="2" r:id="rId5"/>
    <sheet state="visible" name="No Structured Output " sheetId="3" r:id="rId6"/>
    <sheet state="visible" name="LLM Temperature Not Explicitly " sheetId="4" r:id="rId7"/>
    <sheet state="visible" name="Unbounded Max Metrics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mock...
	-cor lapidem</t>
      </text>
    </comment>
    <comment authorId="0" ref="E5">
      <text>
        <t xml:space="preserve">identique au précédent
	-cor lapidem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C'est probablement plus haut que ce doit l'être réellement car j'ai du éviter quelques positifs, car je ne pouvait pas connaître la valeur donnée.
	-cor lapidem</t>
      </text>
    </comment>
  </commentList>
</comments>
</file>

<file path=xl/sharedStrings.xml><?xml version="1.0" encoding="utf-8"?>
<sst xmlns="http://schemas.openxmlformats.org/spreadsheetml/2006/main" count="258" uniqueCount="99">
  <si>
    <t>System</t>
  </si>
  <si>
    <t>Path</t>
  </si>
  <si>
    <t>Line</t>
  </si>
  <si>
    <t>TP</t>
  </si>
  <si>
    <t>FP</t>
  </si>
  <si>
    <t xml:space="preserve">No System Message </t>
  </si>
  <si>
    <t>1Panel-dev__MaxKB</t>
  </si>
  <si>
    <t>1Panel-dev__MaxKB/apps/models_provider/impl/aliyun_bai_lian_model_provider/model/omni_stt.py</t>
  </si>
  <si>
    <t>All-Hands-AI__OpenHands</t>
  </si>
  <si>
    <t>All-Hands-AI__OpenHands/evaluation/benchmarks/versicode/inference_utils/api_code_migration.py</t>
  </si>
  <si>
    <t>All-Hands-AI__OpenHands/evaluation/benchmarks/versicode/inference_utils/api_test_block_completion.py</t>
  </si>
  <si>
    <t>AntonOsika__gpt-engineer</t>
  </si>
  <si>
    <t>AntonOsika__gpt-engineer/docs/examples/open_llms/openai_api_interface.py</t>
  </si>
  <si>
    <t>Byaidu__PDFMathTranslate</t>
  </si>
  <si>
    <t>Byaidu__PDFMathTranslate/pdf2zh/translator.py</t>
  </si>
  <si>
    <t>comet-ml__opik</t>
  </si>
  <si>
    <t>comet-ml__opik/sdks/python/tests/library_integration/anthropic/test_anthropic.py</t>
  </si>
  <si>
    <t>comet-ml__opik/sdks/python/examples/evaluation_example.py</t>
  </si>
  <si>
    <t>comet-ml__opik/sdks/python/examples/dynamic_tracing_example.py</t>
  </si>
  <si>
    <t>comet-ml__opik/apps/opik-frontend/src/components/pages-shared/onboarding/FrameworkIntegrations/integration-scripts/FunctionDecorators.py</t>
  </si>
  <si>
    <t>comet-ml__opik/apps/opik-frontend/src/components/pages-shared/onboarding/FrameworkIntegrations/integration-scripts/OpenRouter.py</t>
  </si>
  <si>
    <t>comet-ml__opik/apps/opik-frontend/src/components/pages-shared/onboarding/FrameworkIntegrations/integration-scripts/OpenAI.py</t>
  </si>
  <si>
    <t>comet-ml__opik/apps/opik-frontend/src/components/pages-shared/onboarding/FrameworkIntegrations/integration-scripts/Anthropic.py</t>
  </si>
  <si>
    <t>meta-llama__llama-stack</t>
  </si>
  <si>
    <t>meta-llama__llama-stack/tests/unit/distribution/test_inference_recordings.py</t>
  </si>
  <si>
    <t>modelscope__ms-swift</t>
  </si>
  <si>
    <t>modelscope__ms-swift/examples/train/grpo/plugin/deepeyes/deepeyes_plugin.py</t>
  </si>
  <si>
    <t>RockChinQ__LangBot</t>
  </si>
  <si>
    <t>RockChinQ__LangBot/pkg/provider/modelmgr/requesters/anthropicmsgs.py</t>
  </si>
  <si>
    <t>run-llama__llama_index</t>
  </si>
  <si>
    <t>run-llama__llama_index/llama-index-integrations/agent/llama-index-agent-azure/llama_index/agent/azure_foundry_agent/base.py</t>
  </si>
  <si>
    <t xml:space="preserve">Total = </t>
  </si>
  <si>
    <t>Precision =</t>
  </si>
  <si>
    <t xml:space="preserve">No Model Version Pinning </t>
  </si>
  <si>
    <t>BlinkDL__RWKV-LM</t>
  </si>
  <si>
    <t>BlinkDL__RWKV-LM/RWKV-v7/rwkv_mmlu_eval.py</t>
  </si>
  <si>
    <t>comet-ml__opik/sdks/python/tests/library_integration/aisuite/test_aisuite.py</t>
  </si>
  <si>
    <t>comet-ml__opik/sdks/python/examples/openai_integration_example.py</t>
  </si>
  <si>
    <t>/comet-ml__opik/apps/opik-frontend/src/components/pages-shared/onboarding/FrameworkIntegrations/integration-scripts/OpenAI.py</t>
  </si>
  <si>
    <t>comet-ml__opik/apps/opik-frontend/src/components/pages-shared/onboarding/FrameworkIntegrations/integration-scripts/DeepSeek.py</t>
  </si>
  <si>
    <t>deepset-ai__haystack</t>
  </si>
  <si>
    <t>deepset-ai__haystack/test/components/generators/test_hugging_face_local_generator.py</t>
  </si>
  <si>
    <t>deepset-ai__haystack/haystack/components/readers/extractive.py</t>
  </si>
  <si>
    <t>deepset-ai__haystack/haystack/components/rankers/transformers_similarity.py</t>
  </si>
  <si>
    <t>h2oai__h2ogpt</t>
  </si>
  <si>
    <t>h2oai__h2ogpt/tests/test_utils.py</t>
  </si>
  <si>
    <t>openai__swarm</t>
  </si>
  <si>
    <t>openai__swarm/examples/customer_service_streaming/src/evals/eval_function.py</t>
  </si>
  <si>
    <t xml:space="preserve">No Structure Output </t>
  </si>
  <si>
    <t>xtekky__gpt4free</t>
  </si>
  <si>
    <t>xtekky__gpt4free/etc/testing/test_all.py</t>
  </si>
  <si>
    <t>xtekky__gpt4free/etc/testing/test_chat_completion.py</t>
  </si>
  <si>
    <t>xtekky__gpt4free/etc/testing/test_api.py</t>
  </si>
  <si>
    <t>xorbitsai__inference</t>
  </si>
  <si>
    <t>xorbitsai__inference/xinference/core/tests/test_restful_api.py</t>
  </si>
  <si>
    <t>simonw__llm</t>
  </si>
  <si>
    <t>simonw__llm/llm/default_plugins/openai_models.py</t>
  </si>
  <si>
    <t>0xk1h0__PentestGPT</t>
  </si>
  <si>
    <t>0xk1h0__PentestGPT/pentestgpt/utils/llm_api.py</t>
  </si>
  <si>
    <t>hzg0601__langchain-ChatGLM-annotation</t>
  </si>
  <si>
    <t>hzg0601__langchain-ChatGLM-annotation/models/fastchat_openai_llm.py</t>
  </si>
  <si>
    <t>Josh-XT__AGiXT</t>
  </si>
  <si>
    <t>Josh-XT__AGiXT/provider/openai.py</t>
  </si>
  <si>
    <t xml:space="preserve">LLM Temperature Not Explicitly Set </t>
  </si>
  <si>
    <t>0xk1h0__PentestGPT/pentestgpt/utils/chatgpt.py</t>
  </si>
  <si>
    <t>0xk1h0__PentestGPT/pentestgpt/utils/APIs/chatgpt_api.py</t>
  </si>
  <si>
    <t>alejandro-ao__ask-multiple-pdfs</t>
  </si>
  <si>
    <t>alejandro-ao__ask-multiple-pdfs/app.py</t>
  </si>
  <si>
    <t>chatchat-space__Langchain-Chatchat</t>
  </si>
  <si>
    <t>chatchat-space__Langchain-Chatchat/model-providers/chatchat_model_providers/core/model_runtime/model_providers/zhipuai/llm/llm.py</t>
  </si>
  <si>
    <t>chatchat-space__Langchain-Chatchat/model-providers/chatchat_model_providers/core/model_runtime/model_providers/chatglm/llm/llm.py</t>
  </si>
  <si>
    <t>VTSTech__localagi</t>
  </si>
  <si>
    <t>VTSTech__localagi/babyagi.py</t>
  </si>
  <si>
    <t>fangyinc__DB-GPT</t>
  </si>
  <si>
    <t>fangyinc__DB-GPT/dbgpt/model/proxy/llms/chatgpt.py</t>
  </si>
  <si>
    <t>dotvignesh__PDFChat</t>
  </si>
  <si>
    <t>dotvignesh__PDFChat/app.py</t>
  </si>
  <si>
    <t>junruxiong__IncarnaMind</t>
  </si>
  <si>
    <t>junruxiong__IncarnaMind/toolkit/local_llm.py</t>
  </si>
  <si>
    <t>1Panel-dev__MaxKB/apps/models_provider/impl/openai_model_provider/model/embedding.py</t>
  </si>
  <si>
    <t>1Panel-dev__MaxKB/apps/models_provider/impl/openai_model_provider/model/tts.py</t>
  </si>
  <si>
    <t>bentoml__OpenLLM</t>
  </si>
  <si>
    <t>bentoml__OpenLLM/src/openllm/local.py</t>
  </si>
  <si>
    <t xml:space="preserve">Unbounded Max Metrics </t>
  </si>
  <si>
    <t>1Panel-dev__MaxKB/apps/models_provider/impl/wenxin_model_provider/model/embedding.py</t>
  </si>
  <si>
    <t>abetlen__llama-cpp-python</t>
  </si>
  <si>
    <t>abetlen__llama-cpp-python/examples/gradio_chat/server.py</t>
  </si>
  <si>
    <t>activeloopai__deeplake</t>
  </si>
  <si>
    <t>activeloopai__deeplake/.github/langchain-tests/test_activeloop_twitter.py</t>
  </si>
  <si>
    <t>activeloopai__deeplake/.github/langchain-tests/test_code_analysis_deeplake.py</t>
  </si>
  <si>
    <t>activeloopai__deeplake/.github/langchain-tests/test_twitter.py</t>
  </si>
  <si>
    <t>activeloopai__deeplake/.github/langchain-tests/test_activeloop_code_analysis.py</t>
  </si>
  <si>
    <t>AntonOsika__gpt-engineer/docs/examples/open_llms/langchain_interface.py</t>
  </si>
  <si>
    <t>AntonOsika__gpt-engineer/gpt_engineer/core/ai.py</t>
  </si>
  <si>
    <t>AstrBotDevs__AstrBot</t>
  </si>
  <si>
    <t>AstrBotDevs__AstrBot/astrbot/core/provider/sources/gemini_source.py</t>
  </si>
  <si>
    <t>AstrBotDevs__AstrBot/astrbot/core/provider/sources/anthropic_source.py</t>
  </si>
  <si>
    <t>AstrBotDevs__AstrBot/astrbot/core/provider/sources/openai_source.py</t>
  </si>
  <si>
    <t>AstrBotDevs__AstrBot/astrbot/core/provider/sources/gemini_tts_source.py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</si>
</sst>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7.0"/>
      <color theme="1"/>
      <name val="Times New Roman"/>
    </font>
    <font>
      <sz val="20.0"/>
      <color theme="1"/>
      <name val="Times New Roman"/>
    </font>
    <font/>
    <font>
      <sz val="11.0"/>
      <color rgb="FF000000"/>
      <name val="&quot;Courier New&quot;"/>
    </font>
    <font>
      <color theme="1"/>
      <name val="Arial"/>
      <scheme val="minor"/>
    </font>
    <font>
      <b/>
      <sz val="16.0"/>
      <color theme="1"/>
      <name val="Times New Roman"/>
    </font>
    <font>
      <sz val="9.0"/>
      <color rgb="FF0451A5"/>
      <name val="Arial"/>
    </font>
    <font>
      <color theme="1"/>
      <name val="Arial"/>
    </font>
    <font>
      <sz val="9.0"/>
      <color rgb="FF0451A5"/>
      <name val="Menlo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left style="thick">
        <color rgb="FF6D9EEB"/>
      </left>
      <top style="thick">
        <color rgb="FF6D9EEB"/>
      </top>
      <bottom style="thick">
        <color rgb="FF6D9EEB"/>
      </bottom>
    </border>
    <border>
      <top style="thick">
        <color rgb="FF6D9EEB"/>
      </top>
      <bottom style="thick">
        <color rgb="FF6D9EEB"/>
      </bottom>
    </border>
    <border>
      <right style="thick">
        <color rgb="FF6D9EEB"/>
      </right>
      <top style="thick">
        <color rgb="FF6D9EEB"/>
      </top>
      <bottom style="thick">
        <color rgb="FF6D9EE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4" fontId="4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5" fontId="4" numFmtId="0" xfId="0" applyAlignment="1" applyFill="1" applyFont="1">
      <alignment horizontal="left" readingOrder="0" shrinkToFit="0" wrapText="1"/>
    </xf>
    <xf borderId="0" fillId="5" fontId="5" numFmtId="0" xfId="0" applyAlignment="1" applyFont="1">
      <alignment readingOrder="0"/>
    </xf>
    <xf borderId="2" fillId="2" fontId="6" numFmtId="0" xfId="0" applyAlignment="1" applyBorder="1" applyFont="1">
      <alignment horizontal="center" readingOrder="0"/>
    </xf>
    <xf borderId="0" fillId="4" fontId="7" numFmtId="0" xfId="0" applyAlignment="1" applyFont="1">
      <alignment readingOrder="0"/>
    </xf>
    <xf borderId="0" fillId="0" fontId="8" numFmtId="0" xfId="0" applyAlignment="1" applyFont="1">
      <alignment horizontal="right" readingOrder="0" vertical="bottom"/>
    </xf>
    <xf borderId="0" fillId="4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6.13"/>
    <col customWidth="1" min="3" max="3" width="15.75"/>
    <col customWidth="1" min="4" max="4" width="14.25"/>
    <col customWidth="1" min="5" max="5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/>
      <c r="C2" s="5"/>
      <c r="D2" s="5"/>
      <c r="E2" s="6"/>
    </row>
    <row r="3">
      <c r="A3" s="7" t="s">
        <v>6</v>
      </c>
      <c r="B3" s="7" t="s">
        <v>7</v>
      </c>
      <c r="C3" s="8">
        <v>58.0</v>
      </c>
      <c r="D3" s="8">
        <v>1.0</v>
      </c>
      <c r="E3" s="8">
        <v>0.0</v>
      </c>
    </row>
    <row r="4">
      <c r="A4" s="9" t="s">
        <v>8</v>
      </c>
      <c r="B4" s="9" t="s">
        <v>9</v>
      </c>
      <c r="C4" s="10">
        <v>32.0</v>
      </c>
      <c r="D4" s="10">
        <v>1.0</v>
      </c>
      <c r="E4" s="10">
        <v>0.0</v>
      </c>
    </row>
    <row r="5">
      <c r="A5" s="9" t="s">
        <v>8</v>
      </c>
      <c r="B5" s="9" t="s">
        <v>10</v>
      </c>
      <c r="C5" s="10">
        <v>32.0</v>
      </c>
      <c r="D5" s="10">
        <v>1.0</v>
      </c>
      <c r="E5" s="10">
        <v>0.0</v>
      </c>
    </row>
    <row r="6">
      <c r="A6" s="7" t="s">
        <v>11</v>
      </c>
      <c r="B6" s="7" t="s">
        <v>12</v>
      </c>
      <c r="C6" s="8">
        <v>9.0</v>
      </c>
      <c r="D6" s="8">
        <v>1.0</v>
      </c>
      <c r="E6" s="8">
        <v>0.0</v>
      </c>
    </row>
    <row r="7">
      <c r="A7" s="7" t="s">
        <v>13</v>
      </c>
      <c r="B7" s="7" t="s">
        <v>14</v>
      </c>
      <c r="C7" s="8">
        <v>1072.0</v>
      </c>
      <c r="D7" s="8">
        <v>1.0</v>
      </c>
      <c r="E7" s="8">
        <v>0.0</v>
      </c>
    </row>
    <row r="8">
      <c r="A8" s="7" t="s">
        <v>15</v>
      </c>
      <c r="B8" s="7" t="s">
        <v>16</v>
      </c>
      <c r="C8" s="8">
        <v>127.0</v>
      </c>
      <c r="D8" s="8">
        <v>1.0</v>
      </c>
      <c r="E8" s="8">
        <v>0.0</v>
      </c>
    </row>
    <row r="9">
      <c r="A9" s="7" t="s">
        <v>15</v>
      </c>
      <c r="B9" s="7" t="s">
        <v>17</v>
      </c>
      <c r="C9" s="8">
        <v>51.0</v>
      </c>
      <c r="D9" s="8">
        <v>1.0</v>
      </c>
      <c r="E9" s="8">
        <v>0.0</v>
      </c>
    </row>
    <row r="10">
      <c r="A10" s="7" t="s">
        <v>15</v>
      </c>
      <c r="B10" s="7" t="s">
        <v>18</v>
      </c>
      <c r="C10" s="8">
        <v>42.0</v>
      </c>
      <c r="D10" s="8">
        <v>1.0</v>
      </c>
      <c r="E10" s="8">
        <v>0.0</v>
      </c>
    </row>
    <row r="11">
      <c r="A11" s="7" t="s">
        <v>15</v>
      </c>
      <c r="B11" s="7" t="s">
        <v>19</v>
      </c>
      <c r="C11" s="8">
        <v>25.0</v>
      </c>
      <c r="D11" s="8">
        <v>1.0</v>
      </c>
      <c r="E11" s="8">
        <v>0.0</v>
      </c>
    </row>
    <row r="12">
      <c r="A12" s="7" t="s">
        <v>15</v>
      </c>
      <c r="B12" s="7" t="s">
        <v>20</v>
      </c>
      <c r="C12" s="8">
        <v>23.0</v>
      </c>
      <c r="D12" s="8">
        <v>1.0</v>
      </c>
      <c r="E12" s="8">
        <v>0.0</v>
      </c>
    </row>
    <row r="13">
      <c r="A13" s="7" t="s">
        <v>15</v>
      </c>
      <c r="B13" s="7" t="s">
        <v>21</v>
      </c>
      <c r="C13" s="8">
        <v>13.0</v>
      </c>
      <c r="D13" s="8">
        <v>1.0</v>
      </c>
      <c r="E13" s="8">
        <v>0.0</v>
      </c>
    </row>
    <row r="14">
      <c r="A14" s="7" t="s">
        <v>15</v>
      </c>
      <c r="B14" s="7" t="s">
        <v>22</v>
      </c>
      <c r="C14" s="8">
        <v>13.0</v>
      </c>
      <c r="D14" s="8">
        <v>1.0</v>
      </c>
      <c r="E14" s="8">
        <v>0.0</v>
      </c>
    </row>
    <row r="15">
      <c r="A15" s="7" t="s">
        <v>23</v>
      </c>
      <c r="B15" s="7" t="s">
        <v>24</v>
      </c>
      <c r="C15" s="8">
        <v>163.0</v>
      </c>
      <c r="D15" s="8">
        <v>1.0</v>
      </c>
      <c r="E15" s="8">
        <v>0.0</v>
      </c>
    </row>
    <row r="16">
      <c r="A16" s="7" t="s">
        <v>23</v>
      </c>
      <c r="B16" s="7" t="s">
        <v>24</v>
      </c>
      <c r="C16" s="8">
        <v>187.0</v>
      </c>
      <c r="D16" s="8">
        <v>1.0</v>
      </c>
      <c r="E16" s="8">
        <v>0.0</v>
      </c>
    </row>
    <row r="17">
      <c r="A17" s="7" t="s">
        <v>23</v>
      </c>
      <c r="B17" s="7" t="s">
        <v>24</v>
      </c>
      <c r="C17" s="8">
        <v>201.0</v>
      </c>
      <c r="D17" s="8">
        <v>1.0</v>
      </c>
      <c r="E17" s="8">
        <v>0.0</v>
      </c>
    </row>
    <row r="18">
      <c r="A18" s="7" t="s">
        <v>23</v>
      </c>
      <c r="B18" s="7" t="s">
        <v>24</v>
      </c>
      <c r="C18" s="8">
        <v>380.0</v>
      </c>
      <c r="D18" s="8">
        <v>1.0</v>
      </c>
      <c r="E18" s="8">
        <v>0.0</v>
      </c>
    </row>
    <row r="19">
      <c r="A19" s="7" t="s">
        <v>23</v>
      </c>
      <c r="B19" s="7" t="s">
        <v>24</v>
      </c>
      <c r="C19" s="8">
        <v>258.0</v>
      </c>
      <c r="D19" s="8">
        <v>1.0</v>
      </c>
      <c r="E19" s="8">
        <v>0.0</v>
      </c>
    </row>
    <row r="20">
      <c r="A20" s="7" t="s">
        <v>25</v>
      </c>
      <c r="B20" s="7" t="s">
        <v>26</v>
      </c>
      <c r="C20" s="8">
        <v>323.0</v>
      </c>
      <c r="D20" s="8">
        <v>1.0</v>
      </c>
      <c r="E20" s="8">
        <v>0.0</v>
      </c>
    </row>
    <row r="21">
      <c r="A21" s="7" t="s">
        <v>27</v>
      </c>
      <c r="B21" s="7" t="s">
        <v>28</v>
      </c>
      <c r="C21" s="8">
        <v>294.0</v>
      </c>
      <c r="D21" s="8">
        <v>0.0</v>
      </c>
      <c r="E21" s="8">
        <v>1.0</v>
      </c>
    </row>
    <row r="22">
      <c r="A22" s="7" t="s">
        <v>29</v>
      </c>
      <c r="B22" s="7" t="s">
        <v>30</v>
      </c>
      <c r="C22" s="8">
        <v>356.0</v>
      </c>
      <c r="D22" s="8">
        <v>0.0</v>
      </c>
      <c r="E22" s="8">
        <v>1.0</v>
      </c>
    </row>
    <row r="23">
      <c r="A23" s="7" t="s">
        <v>29</v>
      </c>
      <c r="B23" s="7" t="s">
        <v>30</v>
      </c>
      <c r="C23" s="8">
        <v>175.0</v>
      </c>
      <c r="D23" s="8">
        <v>0.0</v>
      </c>
      <c r="E23" s="8">
        <v>1.0</v>
      </c>
    </row>
    <row r="27">
      <c r="A27" s="1" t="s">
        <v>31</v>
      </c>
      <c r="B27" s="5"/>
      <c r="C27" s="5"/>
      <c r="D27" s="11">
        <f t="shared" ref="D27:E27" si="1">SUM(D2:D25)</f>
        <v>18</v>
      </c>
      <c r="E27" s="11">
        <f t="shared" si="1"/>
        <v>3</v>
      </c>
    </row>
    <row r="28">
      <c r="D28" s="12"/>
      <c r="E28" s="12"/>
    </row>
    <row r="29">
      <c r="D29" s="12"/>
      <c r="E29" s="12"/>
    </row>
    <row r="30">
      <c r="A30" s="1" t="s">
        <v>32</v>
      </c>
      <c r="B30" s="5"/>
      <c r="C30" s="5"/>
      <c r="D30" s="11">
        <f>(D27/(D27+E27))*100</f>
        <v>85.71428571</v>
      </c>
      <c r="E30" s="12"/>
    </row>
  </sheetData>
  <mergeCells count="3">
    <mergeCell ref="A2:E2"/>
    <mergeCell ref="A27:C27"/>
    <mergeCell ref="A30:C30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  <col customWidth="1" min="2" max="2" width="44.63"/>
    <col customWidth="1" min="4" max="4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33</v>
      </c>
      <c r="B2" s="5"/>
      <c r="C2" s="5"/>
      <c r="D2" s="5"/>
      <c r="E2" s="6"/>
    </row>
    <row r="3">
      <c r="A3" s="7" t="s">
        <v>34</v>
      </c>
      <c r="B3" s="7" t="s">
        <v>35</v>
      </c>
      <c r="C3" s="13">
        <v>46.0</v>
      </c>
      <c r="D3" s="13">
        <v>1.0</v>
      </c>
      <c r="E3" s="13">
        <v>0.0</v>
      </c>
    </row>
    <row r="4">
      <c r="A4" s="7" t="s">
        <v>34</v>
      </c>
      <c r="B4" s="7" t="s">
        <v>35</v>
      </c>
      <c r="C4" s="13">
        <v>45.0</v>
      </c>
      <c r="D4" s="13">
        <v>1.0</v>
      </c>
      <c r="E4" s="13">
        <v>0.0</v>
      </c>
    </row>
    <row r="5">
      <c r="A5" s="7" t="s">
        <v>15</v>
      </c>
      <c r="B5" s="7" t="s">
        <v>36</v>
      </c>
      <c r="C5" s="8">
        <v>65.0</v>
      </c>
      <c r="D5" s="8">
        <v>1.0</v>
      </c>
      <c r="E5" s="8">
        <v>0.0</v>
      </c>
    </row>
    <row r="6">
      <c r="A6" s="8" t="s">
        <v>15</v>
      </c>
      <c r="B6" s="7" t="s">
        <v>36</v>
      </c>
      <c r="C6" s="8">
        <v>126.0</v>
      </c>
      <c r="D6" s="8">
        <v>0.0</v>
      </c>
      <c r="E6" s="8">
        <v>1.0</v>
      </c>
    </row>
    <row r="7">
      <c r="A7" s="8" t="s">
        <v>15</v>
      </c>
      <c r="B7" s="7" t="s">
        <v>36</v>
      </c>
      <c r="C7" s="8">
        <v>181.0</v>
      </c>
      <c r="D7" s="8">
        <v>1.0</v>
      </c>
      <c r="E7" s="8">
        <v>0.0</v>
      </c>
    </row>
    <row r="8">
      <c r="A8" s="8" t="s">
        <v>15</v>
      </c>
      <c r="B8" s="7" t="s">
        <v>36</v>
      </c>
      <c r="C8" s="8">
        <v>260.0</v>
      </c>
      <c r="D8" s="8">
        <v>1.0</v>
      </c>
      <c r="E8" s="8">
        <v>0.0</v>
      </c>
    </row>
    <row r="9">
      <c r="A9" s="8" t="s">
        <v>15</v>
      </c>
      <c r="B9" s="7" t="s">
        <v>17</v>
      </c>
      <c r="C9" s="8">
        <v>51.0</v>
      </c>
      <c r="D9" s="8">
        <v>1.0</v>
      </c>
      <c r="E9" s="8">
        <v>0.0</v>
      </c>
    </row>
    <row r="10">
      <c r="A10" s="8" t="s">
        <v>15</v>
      </c>
      <c r="B10" s="7" t="s">
        <v>37</v>
      </c>
      <c r="C10" s="8">
        <v>76.0</v>
      </c>
      <c r="D10" s="8">
        <v>1.0</v>
      </c>
      <c r="E10" s="8">
        <v>0.0</v>
      </c>
    </row>
    <row r="11">
      <c r="A11" s="8" t="s">
        <v>15</v>
      </c>
      <c r="B11" s="7" t="s">
        <v>37</v>
      </c>
      <c r="C11" s="8">
        <v>45.0</v>
      </c>
      <c r="D11" s="8">
        <v>1.0</v>
      </c>
      <c r="E11" s="8">
        <v>0.0</v>
      </c>
    </row>
    <row r="12">
      <c r="A12" s="8" t="s">
        <v>15</v>
      </c>
      <c r="B12" s="7" t="s">
        <v>37</v>
      </c>
      <c r="C12" s="8">
        <v>65.0</v>
      </c>
      <c r="D12" s="8">
        <v>1.0</v>
      </c>
      <c r="E12" s="8">
        <v>0.0</v>
      </c>
    </row>
    <row r="13">
      <c r="A13" s="8" t="s">
        <v>15</v>
      </c>
      <c r="B13" s="7" t="s">
        <v>18</v>
      </c>
      <c r="C13" s="8">
        <v>42.0</v>
      </c>
      <c r="D13" s="8">
        <v>1.0</v>
      </c>
      <c r="E13" s="8">
        <v>0.0</v>
      </c>
    </row>
    <row r="14">
      <c r="A14" s="8" t="s">
        <v>15</v>
      </c>
      <c r="B14" s="7" t="s">
        <v>19</v>
      </c>
      <c r="C14" s="8">
        <v>25.0</v>
      </c>
      <c r="D14" s="8">
        <v>1.0</v>
      </c>
      <c r="E14" s="8">
        <v>0.0</v>
      </c>
    </row>
    <row r="15">
      <c r="A15" s="8" t="s">
        <v>15</v>
      </c>
      <c r="B15" s="7" t="s">
        <v>20</v>
      </c>
      <c r="C15" s="8">
        <v>23.0</v>
      </c>
      <c r="D15" s="8">
        <v>1.0</v>
      </c>
      <c r="E15" s="8">
        <v>0.0</v>
      </c>
    </row>
    <row r="16">
      <c r="A16" s="8" t="s">
        <v>15</v>
      </c>
      <c r="B16" s="7" t="s">
        <v>38</v>
      </c>
      <c r="C16" s="8">
        <v>13.0</v>
      </c>
      <c r="D16" s="8">
        <v>1.0</v>
      </c>
      <c r="E16" s="8">
        <v>0.0</v>
      </c>
    </row>
    <row r="17">
      <c r="A17" s="8" t="s">
        <v>15</v>
      </c>
      <c r="B17" s="7" t="s">
        <v>39</v>
      </c>
      <c r="C17" s="8">
        <v>17.0</v>
      </c>
      <c r="D17" s="8">
        <v>1.0</v>
      </c>
      <c r="E17" s="8">
        <v>0.0</v>
      </c>
    </row>
    <row r="18">
      <c r="A18" s="8" t="s">
        <v>40</v>
      </c>
      <c r="B18" s="7" t="s">
        <v>41</v>
      </c>
      <c r="C18" s="8">
        <v>446.0</v>
      </c>
      <c r="D18" s="8">
        <v>1.0</v>
      </c>
      <c r="E18" s="8">
        <v>0.0</v>
      </c>
    </row>
    <row r="19">
      <c r="A19" s="8" t="s">
        <v>40</v>
      </c>
      <c r="B19" s="7" t="s">
        <v>41</v>
      </c>
      <c r="C19" s="8">
        <v>478.0</v>
      </c>
      <c r="D19" s="8">
        <v>1.0</v>
      </c>
      <c r="E19" s="8">
        <v>0.0</v>
      </c>
    </row>
    <row r="20">
      <c r="A20" s="8" t="s">
        <v>40</v>
      </c>
      <c r="B20" s="7" t="s">
        <v>42</v>
      </c>
      <c r="C20" s="8">
        <v>189.0</v>
      </c>
      <c r="D20" s="8">
        <v>1.0</v>
      </c>
      <c r="E20" s="8">
        <v>0.0</v>
      </c>
    </row>
    <row r="21">
      <c r="A21" s="8" t="s">
        <v>40</v>
      </c>
      <c r="B21" s="7" t="s">
        <v>43</v>
      </c>
      <c r="C21" s="8">
        <v>163.0</v>
      </c>
      <c r="D21" s="8">
        <v>1.0</v>
      </c>
      <c r="E21" s="8">
        <v>0.0</v>
      </c>
    </row>
    <row r="22">
      <c r="A22" s="7" t="s">
        <v>44</v>
      </c>
      <c r="B22" s="7" t="s">
        <v>45</v>
      </c>
      <c r="C22" s="8">
        <v>213.0</v>
      </c>
      <c r="D22" s="8">
        <v>1.0</v>
      </c>
      <c r="E22" s="8">
        <v>0.0</v>
      </c>
    </row>
    <row r="23">
      <c r="A23" s="7" t="s">
        <v>44</v>
      </c>
      <c r="B23" s="7" t="s">
        <v>45</v>
      </c>
      <c r="C23" s="8">
        <v>357.0</v>
      </c>
      <c r="D23" s="8">
        <v>1.0</v>
      </c>
      <c r="E23" s="8">
        <v>0.0</v>
      </c>
    </row>
    <row r="24">
      <c r="A24" s="7" t="s">
        <v>44</v>
      </c>
      <c r="B24" s="7" t="s">
        <v>45</v>
      </c>
      <c r="C24" s="8">
        <v>338.0</v>
      </c>
      <c r="D24" s="8">
        <v>1.0</v>
      </c>
      <c r="E24" s="8">
        <v>0.0</v>
      </c>
    </row>
    <row r="25">
      <c r="A25" s="7" t="s">
        <v>46</v>
      </c>
      <c r="B25" s="7" t="s">
        <v>47</v>
      </c>
      <c r="C25" s="8">
        <v>45.0</v>
      </c>
      <c r="D25" s="8">
        <v>1.0</v>
      </c>
      <c r="E25" s="8">
        <v>0.0</v>
      </c>
    </row>
    <row r="26">
      <c r="A26" s="7"/>
      <c r="B26" s="7"/>
    </row>
    <row r="27">
      <c r="A27" s="7"/>
      <c r="B27" s="7"/>
    </row>
    <row r="28">
      <c r="A28" s="7"/>
    </row>
    <row r="29">
      <c r="A29" s="7"/>
    </row>
    <row r="30">
      <c r="A30" s="7"/>
    </row>
    <row r="31">
      <c r="A31" s="1" t="s">
        <v>31</v>
      </c>
      <c r="B31" s="5"/>
      <c r="C31" s="5"/>
      <c r="D31" s="11">
        <f t="shared" ref="D31:E31" si="1">SUM(D3:D26)</f>
        <v>22</v>
      </c>
      <c r="E31" s="11">
        <f t="shared" si="1"/>
        <v>1</v>
      </c>
    </row>
    <row r="32">
      <c r="D32" s="12"/>
      <c r="E32" s="12"/>
    </row>
    <row r="33">
      <c r="D33" s="12"/>
      <c r="E33" s="12"/>
    </row>
    <row r="34">
      <c r="A34" s="1" t="s">
        <v>32</v>
      </c>
      <c r="B34" s="5"/>
      <c r="C34" s="5"/>
      <c r="D34" s="11">
        <f>(D31/(D31+E31))*100</f>
        <v>95.65217391</v>
      </c>
      <c r="E34" s="12"/>
    </row>
  </sheetData>
  <mergeCells count="3">
    <mergeCell ref="A2:E2"/>
    <mergeCell ref="A31:C31"/>
    <mergeCell ref="A34:C3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53.63"/>
    <col customWidth="1" min="3" max="3" width="17.0"/>
    <col customWidth="1" min="4" max="4" width="15.88"/>
    <col customWidth="1" min="5" max="5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48</v>
      </c>
      <c r="B2" s="5"/>
      <c r="C2" s="5"/>
      <c r="D2" s="5"/>
      <c r="E2" s="6"/>
    </row>
    <row r="3">
      <c r="A3" s="14" t="s">
        <v>49</v>
      </c>
      <c r="B3" s="14" t="s">
        <v>50</v>
      </c>
      <c r="C3" s="12">
        <v>12.0</v>
      </c>
      <c r="D3" s="12">
        <v>1.0</v>
      </c>
      <c r="E3" s="12">
        <v>0.0</v>
      </c>
    </row>
    <row r="4">
      <c r="A4" s="14" t="s">
        <v>49</v>
      </c>
      <c r="B4" s="14" t="s">
        <v>51</v>
      </c>
      <c r="C4" s="12">
        <v>9.0</v>
      </c>
      <c r="D4" s="12">
        <v>1.0</v>
      </c>
      <c r="E4" s="12">
        <v>0.0</v>
      </c>
    </row>
    <row r="5">
      <c r="A5" s="14" t="s">
        <v>49</v>
      </c>
      <c r="B5" s="14" t="s">
        <v>52</v>
      </c>
      <c r="C5" s="12">
        <v>11.0</v>
      </c>
      <c r="D5" s="12">
        <v>1.0</v>
      </c>
      <c r="E5" s="12">
        <v>0.0</v>
      </c>
    </row>
    <row r="6">
      <c r="A6" s="14" t="s">
        <v>53</v>
      </c>
      <c r="B6" s="14" t="s">
        <v>54</v>
      </c>
      <c r="C6" s="12">
        <v>416.0</v>
      </c>
      <c r="D6" s="12">
        <v>1.0</v>
      </c>
      <c r="E6" s="12">
        <v>0.0</v>
      </c>
    </row>
    <row r="7">
      <c r="A7" s="14" t="s">
        <v>53</v>
      </c>
      <c r="B7" s="14" t="s">
        <v>54</v>
      </c>
      <c r="C7" s="12">
        <v>571.0</v>
      </c>
      <c r="D7" s="12">
        <v>1.0</v>
      </c>
      <c r="E7" s="12">
        <v>0.0</v>
      </c>
    </row>
    <row r="8">
      <c r="A8" s="14" t="s">
        <v>53</v>
      </c>
      <c r="B8" s="14" t="s">
        <v>54</v>
      </c>
      <c r="C8" s="12">
        <v>551.0</v>
      </c>
      <c r="D8" s="12">
        <v>1.0</v>
      </c>
      <c r="E8" s="12">
        <v>0.0</v>
      </c>
    </row>
    <row r="9">
      <c r="A9" s="14" t="s">
        <v>53</v>
      </c>
      <c r="B9" s="14" t="s">
        <v>54</v>
      </c>
      <c r="C9" s="12">
        <v>600.0</v>
      </c>
      <c r="D9" s="12">
        <v>1.0</v>
      </c>
      <c r="E9" s="12">
        <v>0.0</v>
      </c>
    </row>
    <row r="10">
      <c r="A10" s="14" t="s">
        <v>55</v>
      </c>
      <c r="B10" s="14" t="s">
        <v>56</v>
      </c>
      <c r="C10" s="12">
        <v>705.0</v>
      </c>
      <c r="D10" s="12">
        <v>1.0</v>
      </c>
      <c r="E10" s="12">
        <v>0.0</v>
      </c>
    </row>
    <row r="11">
      <c r="A11" s="14" t="s">
        <v>55</v>
      </c>
      <c r="B11" s="14" t="s">
        <v>56</v>
      </c>
      <c r="C11" s="12">
        <v>747.0</v>
      </c>
      <c r="D11" s="12">
        <v>1.0</v>
      </c>
      <c r="E11" s="12">
        <v>0.0</v>
      </c>
    </row>
    <row r="12">
      <c r="A12" s="14" t="s">
        <v>55</v>
      </c>
      <c r="B12" s="14" t="s">
        <v>56</v>
      </c>
      <c r="C12" s="12">
        <v>790.0</v>
      </c>
      <c r="D12" s="12">
        <v>1.0</v>
      </c>
      <c r="E12" s="12">
        <v>0.0</v>
      </c>
    </row>
    <row r="13">
      <c r="A13" s="14" t="s">
        <v>55</v>
      </c>
      <c r="B13" s="14" t="s">
        <v>56</v>
      </c>
      <c r="C13" s="12">
        <v>834.0</v>
      </c>
      <c r="D13" s="12">
        <v>1.0</v>
      </c>
      <c r="E13" s="12">
        <v>0.0</v>
      </c>
    </row>
    <row r="14">
      <c r="A14" s="14" t="s">
        <v>57</v>
      </c>
      <c r="B14" s="14" t="s">
        <v>58</v>
      </c>
      <c r="C14" s="12">
        <v>150.0</v>
      </c>
      <c r="D14" s="12">
        <v>1.0</v>
      </c>
      <c r="E14" s="12">
        <v>0.0</v>
      </c>
    </row>
    <row r="15">
      <c r="A15" s="14" t="s">
        <v>57</v>
      </c>
      <c r="B15" s="14" t="s">
        <v>58</v>
      </c>
      <c r="C15" s="12">
        <v>163.0</v>
      </c>
      <c r="D15" s="12">
        <v>1.0</v>
      </c>
      <c r="E15" s="12">
        <v>0.0</v>
      </c>
    </row>
    <row r="16">
      <c r="A16" s="14" t="s">
        <v>57</v>
      </c>
      <c r="B16" s="14" t="s">
        <v>58</v>
      </c>
      <c r="C16" s="12">
        <v>176.0</v>
      </c>
      <c r="D16" s="12">
        <v>1.0</v>
      </c>
      <c r="E16" s="12">
        <v>0.0</v>
      </c>
    </row>
    <row r="17">
      <c r="A17" s="14" t="s">
        <v>57</v>
      </c>
      <c r="B17" s="14" t="s">
        <v>58</v>
      </c>
      <c r="C17" s="12">
        <v>192.0</v>
      </c>
      <c r="D17" s="12">
        <v>1.0</v>
      </c>
      <c r="E17" s="12">
        <v>0.0</v>
      </c>
    </row>
    <row r="18">
      <c r="A18" s="14" t="s">
        <v>57</v>
      </c>
      <c r="B18" s="14" t="s">
        <v>58</v>
      </c>
      <c r="C18" s="12">
        <v>203.0</v>
      </c>
      <c r="D18" s="12">
        <v>1.0</v>
      </c>
      <c r="E18" s="12">
        <v>0.0</v>
      </c>
    </row>
    <row r="19">
      <c r="A19" s="14" t="s">
        <v>59</v>
      </c>
      <c r="B19" s="14" t="s">
        <v>60</v>
      </c>
      <c r="C19" s="12">
        <v>93.0</v>
      </c>
      <c r="D19" s="12">
        <v>0.0</v>
      </c>
      <c r="E19" s="12">
        <v>1.0</v>
      </c>
    </row>
    <row r="20">
      <c r="A20" s="14" t="s">
        <v>59</v>
      </c>
      <c r="B20" s="14" t="s">
        <v>60</v>
      </c>
      <c r="C20" s="12">
        <v>137.0</v>
      </c>
      <c r="D20" s="12">
        <v>0.0</v>
      </c>
      <c r="E20" s="12">
        <v>1.0</v>
      </c>
    </row>
    <row r="21">
      <c r="A21" s="14" t="s">
        <v>61</v>
      </c>
      <c r="B21" s="14" t="s">
        <v>62</v>
      </c>
      <c r="C21" s="12">
        <v>20.0</v>
      </c>
      <c r="D21" s="12">
        <v>0.0</v>
      </c>
      <c r="E21" s="12">
        <v>1.0</v>
      </c>
    </row>
    <row r="22">
      <c r="A22" s="14" t="s">
        <v>61</v>
      </c>
      <c r="B22" s="14" t="s">
        <v>62</v>
      </c>
      <c r="C22" s="12">
        <v>33.0</v>
      </c>
      <c r="D22" s="12">
        <v>0.0</v>
      </c>
      <c r="E22" s="12">
        <v>1.0</v>
      </c>
    </row>
    <row r="23">
      <c r="A23" s="14"/>
      <c r="B23" s="14"/>
      <c r="C23" s="12"/>
      <c r="D23" s="12"/>
      <c r="E23" s="12"/>
    </row>
    <row r="24">
      <c r="A24" s="14"/>
      <c r="B24" s="14"/>
      <c r="C24" s="12"/>
      <c r="D24" s="12"/>
      <c r="E24" s="12"/>
    </row>
    <row r="25">
      <c r="A25" s="14"/>
      <c r="B25" s="14"/>
      <c r="C25" s="12"/>
      <c r="D25" s="12"/>
      <c r="E25" s="12"/>
    </row>
    <row r="26">
      <c r="D26" s="12"/>
      <c r="E26" s="12"/>
    </row>
    <row r="27">
      <c r="A27" s="1" t="s">
        <v>31</v>
      </c>
      <c r="B27" s="5"/>
      <c r="C27" s="5"/>
      <c r="D27" s="11">
        <f t="shared" ref="D27:E27" si="1">SUM(D2:D25)</f>
        <v>16</v>
      </c>
      <c r="E27" s="11">
        <f t="shared" si="1"/>
        <v>4</v>
      </c>
    </row>
    <row r="28">
      <c r="D28" s="12"/>
      <c r="E28" s="12"/>
    </row>
    <row r="29">
      <c r="D29" s="12"/>
      <c r="E29" s="12"/>
    </row>
    <row r="30">
      <c r="A30" s="1" t="s">
        <v>32</v>
      </c>
      <c r="B30" s="5"/>
      <c r="C30" s="5"/>
      <c r="D30" s="11">
        <f>(D27/(D27+E27))*100</f>
        <v>80</v>
      </c>
      <c r="E30" s="12"/>
    </row>
    <row r="31">
      <c r="D31" s="12"/>
      <c r="E31" s="12"/>
    </row>
  </sheetData>
  <mergeCells count="3">
    <mergeCell ref="A2:E2"/>
    <mergeCell ref="A27:C27"/>
    <mergeCell ref="A30:C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88"/>
    <col customWidth="1" min="3" max="3" width="17.0"/>
    <col customWidth="1" min="4" max="4" width="15.88"/>
    <col customWidth="1" min="5" max="5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63</v>
      </c>
      <c r="B2" s="5"/>
      <c r="C2" s="5"/>
      <c r="D2" s="5"/>
      <c r="E2" s="6"/>
    </row>
    <row r="3">
      <c r="A3" s="14" t="s">
        <v>57</v>
      </c>
      <c r="B3" s="12" t="s">
        <v>64</v>
      </c>
      <c r="C3" s="12">
        <v>65.0</v>
      </c>
      <c r="D3" s="12">
        <v>1.0</v>
      </c>
      <c r="E3" s="12">
        <v>0.0</v>
      </c>
    </row>
    <row r="4">
      <c r="A4" s="14" t="s">
        <v>57</v>
      </c>
      <c r="B4" s="14" t="s">
        <v>65</v>
      </c>
      <c r="C4" s="12">
        <v>49.0</v>
      </c>
      <c r="D4" s="12">
        <v>1.0</v>
      </c>
      <c r="E4" s="12">
        <v>0.0</v>
      </c>
    </row>
    <row r="5">
      <c r="A5" s="14" t="s">
        <v>66</v>
      </c>
      <c r="B5" s="14" t="s">
        <v>67</v>
      </c>
      <c r="C5" s="12">
        <v>41.0</v>
      </c>
      <c r="D5" s="12">
        <v>1.0</v>
      </c>
      <c r="E5" s="12">
        <v>0.0</v>
      </c>
    </row>
    <row r="6">
      <c r="A6" s="14" t="s">
        <v>68</v>
      </c>
      <c r="B6" s="14" t="s">
        <v>69</v>
      </c>
      <c r="C6" s="12">
        <v>304.0</v>
      </c>
      <c r="D6" s="12">
        <v>1.0</v>
      </c>
      <c r="E6" s="12">
        <v>0.0</v>
      </c>
    </row>
    <row r="7">
      <c r="A7" s="14" t="s">
        <v>68</v>
      </c>
      <c r="B7" s="14" t="s">
        <v>69</v>
      </c>
      <c r="C7" s="12">
        <v>307.0</v>
      </c>
      <c r="D7" s="12">
        <v>1.0</v>
      </c>
      <c r="E7" s="12">
        <v>0.0</v>
      </c>
    </row>
    <row r="8">
      <c r="A8" s="14" t="s">
        <v>68</v>
      </c>
      <c r="B8" s="12" t="s">
        <v>70</v>
      </c>
      <c r="C8" s="12">
        <v>162.0</v>
      </c>
      <c r="D8" s="12">
        <v>1.0</v>
      </c>
      <c r="E8" s="12">
        <v>0.0</v>
      </c>
    </row>
    <row r="9">
      <c r="A9" s="14" t="s">
        <v>68</v>
      </c>
      <c r="B9" s="12" t="s">
        <v>70</v>
      </c>
      <c r="C9" s="12">
        <v>176.0</v>
      </c>
      <c r="D9" s="12">
        <v>1.0</v>
      </c>
      <c r="E9" s="12">
        <v>0.0</v>
      </c>
    </row>
    <row r="10">
      <c r="A10" s="14" t="s">
        <v>71</v>
      </c>
      <c r="B10" s="14" t="s">
        <v>72</v>
      </c>
      <c r="C10" s="12">
        <v>157.0</v>
      </c>
      <c r="D10" s="12">
        <v>1.0</v>
      </c>
      <c r="E10" s="12">
        <v>0.0</v>
      </c>
    </row>
    <row r="11">
      <c r="A11" s="14" t="s">
        <v>73</v>
      </c>
      <c r="B11" s="14" t="s">
        <v>74</v>
      </c>
      <c r="C11" s="12">
        <v>171.0</v>
      </c>
      <c r="D11" s="12">
        <v>1.0</v>
      </c>
      <c r="E11" s="12">
        <v>0.0</v>
      </c>
    </row>
    <row r="12">
      <c r="A12" s="14" t="s">
        <v>75</v>
      </c>
      <c r="B12" s="14" t="s">
        <v>76</v>
      </c>
      <c r="C12" s="12">
        <v>60.0</v>
      </c>
      <c r="D12" s="12">
        <v>1.0</v>
      </c>
      <c r="E12" s="12">
        <v>0.0</v>
      </c>
    </row>
    <row r="13">
      <c r="A13" s="14" t="s">
        <v>75</v>
      </c>
      <c r="B13" s="14" t="s">
        <v>76</v>
      </c>
      <c r="C13" s="12">
        <v>83.0</v>
      </c>
      <c r="D13" s="12">
        <v>1.0</v>
      </c>
      <c r="E13" s="12">
        <v>0.0</v>
      </c>
    </row>
    <row r="14">
      <c r="A14" s="14" t="s">
        <v>77</v>
      </c>
      <c r="B14" s="14" t="s">
        <v>78</v>
      </c>
      <c r="C14" s="12">
        <v>190.0</v>
      </c>
      <c r="D14" s="12">
        <v>0.0</v>
      </c>
      <c r="E14" s="12">
        <v>1.0</v>
      </c>
    </row>
    <row r="15">
      <c r="A15" s="14" t="s">
        <v>6</v>
      </c>
      <c r="B15" s="14" t="s">
        <v>7</v>
      </c>
      <c r="C15" s="12">
        <v>50.0</v>
      </c>
      <c r="D15" s="12">
        <v>1.0</v>
      </c>
      <c r="E15" s="12">
        <v>0.0</v>
      </c>
    </row>
    <row r="16">
      <c r="A16" s="14" t="s">
        <v>6</v>
      </c>
      <c r="B16" s="14" t="s">
        <v>7</v>
      </c>
      <c r="C16" s="12">
        <v>58.0</v>
      </c>
      <c r="D16" s="12">
        <v>1.0</v>
      </c>
      <c r="E16" s="12">
        <v>0.0</v>
      </c>
    </row>
    <row r="17">
      <c r="A17" s="14" t="s">
        <v>6</v>
      </c>
      <c r="B17" s="14" t="s">
        <v>79</v>
      </c>
      <c r="C17" s="12">
        <v>20.0</v>
      </c>
      <c r="D17" s="12">
        <v>0.0</v>
      </c>
      <c r="E17" s="12">
        <v>1.0</v>
      </c>
    </row>
    <row r="18">
      <c r="A18" s="14" t="s">
        <v>6</v>
      </c>
      <c r="B18" s="14" t="s">
        <v>80</v>
      </c>
      <c r="C18" s="12">
        <v>47.0</v>
      </c>
      <c r="D18" s="12">
        <v>1.0</v>
      </c>
      <c r="E18" s="12">
        <v>0.0</v>
      </c>
    </row>
    <row r="19">
      <c r="A19" s="14" t="s">
        <v>6</v>
      </c>
      <c r="B19" s="14" t="s">
        <v>80</v>
      </c>
      <c r="C19" s="12">
        <v>55.0</v>
      </c>
      <c r="D19" s="12">
        <v>1.0</v>
      </c>
      <c r="E19" s="12">
        <v>0.0</v>
      </c>
    </row>
    <row r="20">
      <c r="A20" s="14" t="s">
        <v>81</v>
      </c>
      <c r="B20" s="14" t="s">
        <v>82</v>
      </c>
      <c r="C20" s="12">
        <v>130.0</v>
      </c>
      <c r="D20" s="12">
        <v>1.0</v>
      </c>
      <c r="E20" s="12">
        <v>0.0</v>
      </c>
    </row>
    <row r="21">
      <c r="A21" s="14" t="s">
        <v>13</v>
      </c>
      <c r="B21" s="14" t="s">
        <v>14</v>
      </c>
      <c r="C21" s="12">
        <v>425.0</v>
      </c>
      <c r="D21" s="12">
        <v>0.0</v>
      </c>
      <c r="E21" s="12">
        <v>1.0</v>
      </c>
    </row>
    <row r="22">
      <c r="A22" s="14" t="s">
        <v>13</v>
      </c>
      <c r="B22" s="14" t="s">
        <v>14</v>
      </c>
      <c r="C22" s="12">
        <v>446.0</v>
      </c>
      <c r="D22" s="12">
        <v>1.0</v>
      </c>
      <c r="E22" s="12">
        <v>0.0</v>
      </c>
    </row>
    <row r="23">
      <c r="A23" s="14" t="s">
        <v>13</v>
      </c>
      <c r="B23" s="14" t="s">
        <v>14</v>
      </c>
      <c r="C23" s="12">
        <v>509.0</v>
      </c>
      <c r="D23" s="12">
        <v>0.0</v>
      </c>
      <c r="E23" s="12">
        <v>1.0</v>
      </c>
    </row>
    <row r="24">
      <c r="A24" s="14" t="s">
        <v>13</v>
      </c>
      <c r="B24" s="14" t="s">
        <v>14</v>
      </c>
      <c r="C24" s="12">
        <v>1072.0</v>
      </c>
      <c r="D24" s="12">
        <v>1.0</v>
      </c>
      <c r="E24" s="12">
        <v>0.0</v>
      </c>
    </row>
    <row r="25">
      <c r="A25" s="14" t="s">
        <v>13</v>
      </c>
      <c r="B25" s="14" t="s">
        <v>14</v>
      </c>
      <c r="C25" s="12">
        <v>584.0</v>
      </c>
      <c r="D25" s="12">
        <v>1.0</v>
      </c>
      <c r="E25" s="12">
        <v>0.0</v>
      </c>
    </row>
    <row r="26">
      <c r="D26" s="12"/>
      <c r="E26" s="12"/>
    </row>
    <row r="27">
      <c r="A27" s="1" t="s">
        <v>31</v>
      </c>
      <c r="B27" s="5"/>
      <c r="C27" s="5"/>
      <c r="D27" s="11">
        <f t="shared" ref="D27:E27" si="1">SUM(D2:D25)</f>
        <v>19</v>
      </c>
      <c r="E27" s="11">
        <f t="shared" si="1"/>
        <v>4</v>
      </c>
    </row>
    <row r="28">
      <c r="D28" s="12"/>
      <c r="E28" s="12"/>
    </row>
    <row r="29">
      <c r="D29" s="12"/>
      <c r="E29" s="12"/>
    </row>
    <row r="30">
      <c r="A30" s="1" t="s">
        <v>32</v>
      </c>
      <c r="B30" s="5"/>
      <c r="C30" s="5"/>
      <c r="D30" s="11">
        <f>(D27/(D27+E27))*100</f>
        <v>82.60869565</v>
      </c>
      <c r="E30" s="12"/>
    </row>
    <row r="31">
      <c r="D31" s="12"/>
      <c r="E31" s="12"/>
    </row>
  </sheetData>
  <mergeCells count="3">
    <mergeCell ref="A2:E2"/>
    <mergeCell ref="A27:C27"/>
    <mergeCell ref="A30:C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55.5"/>
    <col customWidth="1" min="3" max="3" width="15.5"/>
    <col customWidth="1" min="4" max="4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83</v>
      </c>
      <c r="B2" s="5"/>
      <c r="C2" s="5"/>
      <c r="D2" s="5"/>
      <c r="E2" s="6"/>
    </row>
    <row r="3">
      <c r="A3" s="7" t="s">
        <v>6</v>
      </c>
      <c r="B3" s="7" t="s">
        <v>7</v>
      </c>
      <c r="C3" s="8">
        <v>58.0</v>
      </c>
      <c r="D3" s="8">
        <v>1.0</v>
      </c>
      <c r="E3" s="8">
        <v>0.0</v>
      </c>
    </row>
    <row r="4">
      <c r="A4" s="7" t="s">
        <v>6</v>
      </c>
      <c r="B4" s="7" t="s">
        <v>79</v>
      </c>
      <c r="C4" s="8">
        <v>20.0</v>
      </c>
      <c r="D4" s="8">
        <v>0.0</v>
      </c>
      <c r="E4" s="8">
        <v>1.0</v>
      </c>
    </row>
    <row r="5">
      <c r="A5" s="7" t="s">
        <v>6</v>
      </c>
      <c r="B5" s="7" t="s">
        <v>84</v>
      </c>
      <c r="C5" s="8">
        <v>33.0</v>
      </c>
      <c r="D5" s="8">
        <v>0.0</v>
      </c>
      <c r="E5" s="8">
        <v>1.0</v>
      </c>
    </row>
    <row r="6">
      <c r="A6" s="7" t="s">
        <v>85</v>
      </c>
      <c r="B6" s="7" t="s">
        <v>86</v>
      </c>
      <c r="C6" s="8">
        <v>19.0</v>
      </c>
      <c r="D6" s="8">
        <v>1.0</v>
      </c>
      <c r="E6" s="8">
        <v>0.0</v>
      </c>
    </row>
    <row r="7">
      <c r="A7" s="7" t="s">
        <v>87</v>
      </c>
      <c r="B7" s="7" t="s">
        <v>88</v>
      </c>
      <c r="C7" s="8">
        <v>66.0</v>
      </c>
      <c r="D7" s="8">
        <v>1.0</v>
      </c>
      <c r="E7" s="8">
        <v>0.0</v>
      </c>
    </row>
    <row r="8">
      <c r="A8" s="7" t="s">
        <v>87</v>
      </c>
      <c r="B8" s="7" t="s">
        <v>89</v>
      </c>
      <c r="C8" s="8">
        <v>64.0</v>
      </c>
      <c r="D8" s="8">
        <v>1.0</v>
      </c>
      <c r="E8" s="8">
        <v>0.0</v>
      </c>
    </row>
    <row r="9">
      <c r="A9" s="7" t="s">
        <v>87</v>
      </c>
      <c r="B9" s="7" t="s">
        <v>90</v>
      </c>
      <c r="C9" s="8">
        <v>66.0</v>
      </c>
      <c r="D9" s="8">
        <v>1.0</v>
      </c>
      <c r="E9" s="8">
        <v>0.0</v>
      </c>
    </row>
    <row r="10">
      <c r="A10" s="7" t="s">
        <v>87</v>
      </c>
      <c r="B10" s="7" t="s">
        <v>91</v>
      </c>
      <c r="C10" s="8">
        <v>64.0</v>
      </c>
      <c r="D10" s="8">
        <v>1.0</v>
      </c>
      <c r="E10" s="8">
        <v>0.0</v>
      </c>
    </row>
    <row r="11">
      <c r="A11" s="7" t="s">
        <v>11</v>
      </c>
      <c r="B11" s="7" t="s">
        <v>92</v>
      </c>
      <c r="C11" s="8">
        <v>6.0</v>
      </c>
      <c r="D11" s="8">
        <v>1.0</v>
      </c>
      <c r="E11" s="8">
        <v>0.0</v>
      </c>
    </row>
    <row r="12">
      <c r="A12" s="7" t="s">
        <v>11</v>
      </c>
      <c r="B12" s="7" t="s">
        <v>93</v>
      </c>
      <c r="C12" s="8">
        <v>358.0</v>
      </c>
      <c r="D12" s="8">
        <v>1.0</v>
      </c>
      <c r="E12" s="8">
        <v>0.0</v>
      </c>
      <c r="H12" s="8"/>
    </row>
    <row r="13">
      <c r="A13" s="7" t="s">
        <v>11</v>
      </c>
      <c r="B13" s="7" t="s">
        <v>93</v>
      </c>
      <c r="C13" s="8">
        <v>374.0</v>
      </c>
      <c r="D13" s="8">
        <v>1.0</v>
      </c>
      <c r="E13" s="8">
        <v>0.0</v>
      </c>
    </row>
    <row r="14">
      <c r="A14" s="7" t="s">
        <v>94</v>
      </c>
      <c r="B14" s="7" t="s">
        <v>95</v>
      </c>
      <c r="C14" s="8">
        <v>411.0</v>
      </c>
      <c r="D14" s="8">
        <v>1.0</v>
      </c>
      <c r="E14" s="8">
        <v>0.0</v>
      </c>
    </row>
    <row r="15">
      <c r="A15" s="7" t="s">
        <v>94</v>
      </c>
      <c r="B15" s="7" t="s">
        <v>96</v>
      </c>
      <c r="C15" s="8">
        <v>108.0</v>
      </c>
      <c r="D15" s="8">
        <v>1.0</v>
      </c>
      <c r="E15" s="8">
        <v>0.0</v>
      </c>
    </row>
    <row r="16">
      <c r="A16" s="7" t="s">
        <v>94</v>
      </c>
      <c r="B16" s="7" t="s">
        <v>97</v>
      </c>
      <c r="C16" s="8">
        <v>113.0</v>
      </c>
      <c r="D16" s="8">
        <v>1.0</v>
      </c>
      <c r="E16" s="8">
        <v>0.0</v>
      </c>
    </row>
    <row r="17">
      <c r="A17" s="7" t="s">
        <v>94</v>
      </c>
      <c r="B17" s="7" t="s">
        <v>97</v>
      </c>
      <c r="C17" s="8">
        <v>157.0</v>
      </c>
      <c r="D17" s="8">
        <v>1.0</v>
      </c>
      <c r="E17" s="8">
        <v>0.0</v>
      </c>
    </row>
    <row r="18">
      <c r="A18" s="7" t="s">
        <v>94</v>
      </c>
      <c r="B18" s="7" t="s">
        <v>98</v>
      </c>
      <c r="C18" s="8">
        <v>48.0</v>
      </c>
      <c r="D18" s="8">
        <v>1.0</v>
      </c>
      <c r="E18" s="8">
        <v>0.0</v>
      </c>
    </row>
    <row r="19">
      <c r="A19" s="7" t="s">
        <v>81</v>
      </c>
      <c r="B19" s="7" t="s">
        <v>82</v>
      </c>
      <c r="C19" s="8">
        <v>130.0</v>
      </c>
      <c r="D19" s="8">
        <v>1.0</v>
      </c>
      <c r="E19" s="8">
        <v>0.0</v>
      </c>
    </row>
    <row r="20">
      <c r="A20" s="7" t="s">
        <v>13</v>
      </c>
      <c r="B20" s="7" t="s">
        <v>14</v>
      </c>
      <c r="C20" s="8">
        <v>425.0</v>
      </c>
      <c r="D20" s="8">
        <v>0.0</v>
      </c>
      <c r="E20" s="8">
        <v>1.0</v>
      </c>
    </row>
    <row r="21">
      <c r="A21" s="7" t="s">
        <v>13</v>
      </c>
      <c r="B21" s="7" t="s">
        <v>14</v>
      </c>
      <c r="C21" s="8">
        <v>446.0</v>
      </c>
      <c r="D21" s="8">
        <v>1.0</v>
      </c>
      <c r="E21" s="8">
        <v>0.0</v>
      </c>
    </row>
    <row r="22">
      <c r="A22" s="7" t="s">
        <v>13</v>
      </c>
      <c r="B22" s="7" t="s">
        <v>14</v>
      </c>
      <c r="C22" s="8">
        <v>509.0</v>
      </c>
      <c r="D22" s="8">
        <v>1.0</v>
      </c>
      <c r="E22" s="8">
        <v>0.0</v>
      </c>
    </row>
    <row r="23">
      <c r="A23" s="7" t="s">
        <v>13</v>
      </c>
      <c r="B23" s="7" t="s">
        <v>14</v>
      </c>
      <c r="C23" s="8">
        <v>1074.0</v>
      </c>
      <c r="D23" s="8">
        <v>1.0</v>
      </c>
      <c r="E23" s="8">
        <v>0.0</v>
      </c>
    </row>
    <row r="24">
      <c r="A24" s="7" t="s">
        <v>13</v>
      </c>
      <c r="B24" s="7" t="s">
        <v>14</v>
      </c>
      <c r="C24" s="8">
        <v>584.0</v>
      </c>
      <c r="D24" s="8">
        <v>1.0</v>
      </c>
      <c r="E24" s="8">
        <v>0.0</v>
      </c>
    </row>
    <row r="27">
      <c r="A27" s="1" t="s">
        <v>31</v>
      </c>
      <c r="B27" s="5"/>
      <c r="C27" s="5"/>
      <c r="D27" s="11">
        <f t="shared" ref="D27:E27" si="1">SUM(D2:D25)</f>
        <v>19</v>
      </c>
      <c r="E27" s="11">
        <f t="shared" si="1"/>
        <v>3</v>
      </c>
    </row>
    <row r="28">
      <c r="D28" s="12"/>
      <c r="E28" s="12"/>
    </row>
    <row r="29">
      <c r="D29" s="12"/>
      <c r="E29" s="12"/>
    </row>
    <row r="30">
      <c r="A30" s="1" t="s">
        <v>32</v>
      </c>
      <c r="B30" s="5"/>
      <c r="C30" s="5"/>
      <c r="D30" s="11">
        <f>(D27/(D27+E27))*100</f>
        <v>86.36363636</v>
      </c>
      <c r="E30" s="12"/>
    </row>
  </sheetData>
  <mergeCells count="3">
    <mergeCell ref="A2:E2"/>
    <mergeCell ref="A27:C27"/>
    <mergeCell ref="A30:C30"/>
  </mergeCells>
  <drawing r:id="rId1"/>
</worksheet>
</file>