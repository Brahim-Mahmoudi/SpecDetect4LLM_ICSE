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mss/Downloads/"/>
    </mc:Choice>
  </mc:AlternateContent>
  <xr:revisionPtr revIDLastSave="0" documentId="13_ncr:1_{5323F02B-AD32-7B44-AE71-067DDB0AC042}" xr6:coauthVersionLast="47" xr6:coauthVersionMax="47" xr10:uidLastSave="{00000000-0000-0000-0000-000000000000}"/>
  <bookViews>
    <workbookView xWindow="4340" yWindow="500" windowWidth="16100" windowHeight="14840" activeTab="2" xr2:uid="{00000000-000D-0000-FFFF-FFFF00000000}"/>
  </bookViews>
  <sheets>
    <sheet name="Data" sheetId="1" r:id="rId1"/>
    <sheet name="Agreement" sheetId="2" r:id="rId2"/>
    <sheet name="EffectSize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C5" i="3"/>
  <c r="B5" i="3"/>
  <c r="D4" i="3"/>
  <c r="C4" i="3"/>
  <c r="B4" i="3"/>
  <c r="C5" i="2"/>
  <c r="G5" i="2" s="1"/>
  <c r="B5" i="2"/>
  <c r="G4" i="2" s="1"/>
  <c r="C4" i="2"/>
  <c r="B4" i="2"/>
  <c r="B8" i="3" l="1"/>
  <c r="B7" i="3" s="1"/>
  <c r="C6" i="2"/>
  <c r="G11" i="2" s="1"/>
  <c r="D4" i="2"/>
  <c r="G8" i="2" s="1"/>
  <c r="G2" i="2"/>
  <c r="B6" i="2"/>
  <c r="D5" i="2"/>
  <c r="G9" i="2" s="1"/>
  <c r="G3" i="2"/>
  <c r="D6" i="2" l="1"/>
  <c r="G10" i="2"/>
  <c r="G6" i="2" l="1"/>
  <c r="B10" i="2" s="1"/>
  <c r="B9" i="2"/>
  <c r="B12" i="2" l="1"/>
  <c r="B11" i="2"/>
</calcChain>
</file>

<file path=xl/sharedStrings.xml><?xml version="1.0" encoding="utf-8"?>
<sst xmlns="http://schemas.openxmlformats.org/spreadsheetml/2006/main" count="369" uniqueCount="100">
  <si>
    <t>ItemID</t>
  </si>
  <si>
    <t>Annotator1_Label</t>
  </si>
  <si>
    <t>Annotator2_Label</t>
  </si>
  <si>
    <t>Ann1_Binary</t>
  </si>
  <si>
    <t>Ann2_Binary</t>
  </si>
  <si>
    <t>TP</t>
  </si>
  <si>
    <t>FP</t>
  </si>
  <si>
    <t>INSTRUCTIONS</t>
  </si>
  <si>
    <t>Confusion Table (Annotator1 vs Annotator2)</t>
  </si>
  <si>
    <t>Annotator2: TP</t>
  </si>
  <si>
    <t>Annotator2: FP</t>
  </si>
  <si>
    <t>Annotator1: TP</t>
  </si>
  <si>
    <t>Annotator1: FP</t>
  </si>
  <si>
    <t>Totals</t>
  </si>
  <si>
    <t>Observed Agreement (Po)</t>
  </si>
  <si>
    <t>Expected Agreement (Pe)</t>
  </si>
  <si>
    <t>Cohen's Kappa (κ)</t>
  </si>
  <si>
    <t>Percent Agreement</t>
  </si>
  <si>
    <t>a (TP/TP)</t>
  </si>
  <si>
    <t>b (TP/FP)</t>
  </si>
  <si>
    <t>c (FP/TP)</t>
  </si>
  <si>
    <t>d (FP/FP)</t>
  </si>
  <si>
    <t>N</t>
  </si>
  <si>
    <t>Row1 (a+b)</t>
  </si>
  <si>
    <t>Row2 (c+d)</t>
  </si>
  <si>
    <t>Col1 (a+c)</t>
  </si>
  <si>
    <t>Col2 (b+d)</t>
  </si>
  <si>
    <t>Format as % in Excel for readability.</t>
  </si>
  <si>
    <t>Optional: Cohen's d on TP-rate (Annotator1 vs Annotator2)</t>
  </si>
  <si>
    <t>Annotator</t>
  </si>
  <si>
    <t>Mean (TP proportion)</t>
  </si>
  <si>
    <t>Std Dev</t>
  </si>
  <si>
    <t>Annotator1</t>
  </si>
  <si>
    <t>Annotator2</t>
  </si>
  <si>
    <t>Cohen's d</t>
  </si>
  <si>
    <t>Pooled SD</t>
  </si>
  <si>
    <t>Note: For agreement between annotators on categorical labels, use Cohen's κ (see 'Agreement'). Cohen's d here simply compares TP rates.</t>
  </si>
  <si>
    <t>Cohen's Kappa Template (TP vs FP) — Instructions</t>
  </si>
  <si>
    <t>Rappels :</t>
  </si>
  <si>
    <t xml:space="preserve"> - Po = (a + d) / N, où a=TP/TP, b=TP/FP, c=FP/TP, d=FP/FP.</t>
  </si>
  <si>
    <t xml:space="preserve"> - Pe = [(a+b)(a+c) + (c+d)(b+d)] / N^2 (accord attendu par hasard).</t>
  </si>
  <si>
    <t xml:space="preserve"> - κ = (Po - Pe) / (1 - Pe).</t>
  </si>
  <si>
    <t>1Panel-dev__MaxKB/apps/models_provider/impl/aliyun_bai_lian_model_provider/model/omni_stt.py</t>
  </si>
  <si>
    <t>All-Hands-AI__OpenHands/evaluation/benchmarks/versicode/inference_utils/api_code_migration.py</t>
  </si>
  <si>
    <t>All-Hands-AI__OpenHands/evaluation/benchmarks/versicode/inference_utils/api_test_block_completion.py</t>
  </si>
  <si>
    <t>AntonOsika__gpt-engineer/docs/examples/open_llms/openai_api_interface.py</t>
  </si>
  <si>
    <t>Byaidu__PDFMathTranslate/pdf2zh/translator.py</t>
  </si>
  <si>
    <t>comet-ml__opik/sdks/python/tests/library_integration/anthropic/test_anthropic.py</t>
  </si>
  <si>
    <t>comet-ml__opik/sdks/python/examples/evaluation_example.py</t>
  </si>
  <si>
    <t>comet-ml__opik/sdks/python/examples/dynamic_tracing_example.py</t>
  </si>
  <si>
    <t>comet-ml__opik/apps/opik-frontend/src/components/pages-shared/onboarding/FrameworkIntegrations/integration-scripts/FunctionDecorators.py</t>
  </si>
  <si>
    <t>comet-ml__opik/apps/opik-frontend/src/components/pages-shared/onboarding/FrameworkIntegrations/integration-scripts/OpenRouter.py</t>
  </si>
  <si>
    <t>comet-ml__opik/apps/opik-frontend/src/components/pages-shared/onboarding/FrameworkIntegrations/integration-scripts/OpenAI.py</t>
  </si>
  <si>
    <t>comet-ml__opik/apps/opik-frontend/src/components/pages-shared/onboarding/FrameworkIntegrations/integration-scripts/Anthropic.py</t>
  </si>
  <si>
    <t>meta-llama__llama-stack/tests/unit/distribution/test_inference_recordings.py</t>
  </si>
  <si>
    <t>modelscope__ms-swift/examples/train/grpo/plugin/deepeyes/deepeyes_plugin.py</t>
  </si>
  <si>
    <t>RockChinQ__LangBot/pkg/provider/modelmgr/requesters/anthropicmsgs.py</t>
  </si>
  <si>
    <t>run-llama__llama_index/llama-index-integrations/agent/llama-index-agent-azure/llama_index/agent/azure_foundry_agent/base.py</t>
  </si>
  <si>
    <t>BlinkDL__RWKV-LM/RWKV-v7/rwkv_mmlu_eval.py</t>
  </si>
  <si>
    <t>comet-ml__opik/sdks/python/tests/library_integration/aisuite/test_aisuite.py</t>
  </si>
  <si>
    <t>comet-ml__opik/sdks/python/examples/openai_integration_example.py</t>
  </si>
  <si>
    <t>/comet-ml__opik/apps/opik-frontend/src/components/pages-shared/onboarding/FrameworkIntegrations/integration-scripts/OpenAI.py</t>
  </si>
  <si>
    <t>comet-ml__opik/apps/opik-frontend/src/components/pages-shared/onboarding/FrameworkIntegrations/integration-scripts/DeepSeek.py</t>
  </si>
  <si>
    <t>deepset-ai__haystack/test/components/generators/test_hugging_face_local_generator.py</t>
  </si>
  <si>
    <t>deepset-ai__haystack/haystack/components/readers/extractive.py</t>
  </si>
  <si>
    <t>deepset-ai__haystack/haystack/components/rankers/transformers_similarity.py</t>
  </si>
  <si>
    <t>h2oai__h2ogpt/tests/test_utils.py</t>
  </si>
  <si>
    <t>openai__swarm/examples/customer_service_streaming/src/evals/eval_function.py</t>
  </si>
  <si>
    <t>xtekky__gpt4free/etc/testing/test_all.py</t>
  </si>
  <si>
    <t>xtekky__gpt4free/etc/testing/test_chat_completion.py</t>
  </si>
  <si>
    <t>xtekky__gpt4free/etc/testing/test_api.py</t>
  </si>
  <si>
    <t>xorbitsai__inference/xinference/core/tests/test_restful_api.py</t>
  </si>
  <si>
    <t>simonw__llm/llm/default_plugins/openai_models.py</t>
  </si>
  <si>
    <t>0xk1h0__PentestGPT/pentestgpt/utils/llm_api.py</t>
  </si>
  <si>
    <t>hzg0601__langchain-ChatGLM-annotation/models/fastchat_openai_llm.py</t>
  </si>
  <si>
    <t>Josh-XT__AGiXT/provider/openai.py</t>
  </si>
  <si>
    <t>0xk1h0__PentestGPT/pentestgpt/utils/chatgpt.py</t>
  </si>
  <si>
    <t>0xk1h0__PentestGPT/pentestgpt/utils/APIs/chatgpt_api.py</t>
  </si>
  <si>
    <t>alejandro-ao__ask-multiple-pdfs/app.py</t>
  </si>
  <si>
    <t>chatchat-space__Langchain-Chatchat/model-providers/chatchat_model_providers/core/model_runtime/model_providers/zhipuai/llm/llm.py</t>
  </si>
  <si>
    <t>chatchat-space__Langchain-Chatchat/model-providers/chatchat_model_providers/core/model_runtime/model_providers/chatglm/llm/llm.py</t>
  </si>
  <si>
    <t>VTSTech__localagi/babyagi.py</t>
  </si>
  <si>
    <t>fangyinc__DB-GPT/dbgpt/model/proxy/llms/chatgpt.py</t>
  </si>
  <si>
    <t>dotvignesh__PDFChat/app.py</t>
  </si>
  <si>
    <t>junruxiong__IncarnaMind/toolkit/local_llm.py</t>
  </si>
  <si>
    <t>1Panel-dev__MaxKB/apps/models_provider/impl/openai_model_provider/model/embedding.py</t>
  </si>
  <si>
    <t>1Panel-dev__MaxKB/apps/models_provider/impl/openai_model_provider/model/tts.py</t>
  </si>
  <si>
    <t>bentoml__OpenLLM/src/openllm/local.py</t>
  </si>
  <si>
    <t>1Panel-dev__MaxKB/apps/models_provider/impl/wenxin_model_provider/model/embedding.py</t>
  </si>
  <si>
    <t>abetlen__llama-cpp-python/examples/gradio_chat/server.py</t>
  </si>
  <si>
    <t>activeloopai__deeplake/.github/langchain-tests/test_activeloop_twitter.py</t>
  </si>
  <si>
    <t>activeloopai__deeplake/.github/langchain-tests/test_code_analysis_deeplake.py</t>
  </si>
  <si>
    <t>activeloopai__deeplake/.github/langchain-tests/test_twitter.py</t>
  </si>
  <si>
    <t>activeloopai__deeplake/.github/langchain-tests/test_activeloop_code_analysis.py</t>
  </si>
  <si>
    <t>AntonOsika__gpt-engineer/docs/examples/open_llms/langchain_interface.py</t>
  </si>
  <si>
    <t>AntonOsika__gpt-engineer/gpt_engineer/core/ai.py</t>
  </si>
  <si>
    <t>AstrBotDevs__AstrBot/astrbot/core/provider/sources/gemini_source.py</t>
  </si>
  <si>
    <t>AstrBotDevs__AstrBot/astrbot/core/provider/sources/anthropic_source.py</t>
  </si>
  <si>
    <t>AstrBotDevs__AstrBot/astrbot/core/provider/sources/openai_source.py</t>
  </si>
  <si>
    <t>AstrBotDevs__AstrBot/astrbot/core/provider/sources/gemini_tts_source.py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</si>
</sst>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Courier New&quot;"/>
    </font>
    <font>
      <sz val="9"/>
      <color rgb="FF0451A5"/>
      <name val="Menlo"/>
      <family val="2"/>
    </font>
    <font>
      <sz val="9"/>
      <color rgb="FF0451A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opLeftCell="A106" workbookViewId="0">
      <selection activeCell="A113" sqref="A113"/>
    </sheetView>
  </sheetViews>
  <sheetFormatPr baseColWidth="10" defaultColWidth="8.83203125" defaultRowHeight="15"/>
  <cols>
    <col min="1" max="1" width="6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7</v>
      </c>
    </row>
    <row r="2" spans="1:6" ht="181">
      <c r="A2" s="2" t="s">
        <v>42</v>
      </c>
      <c r="B2" t="s">
        <v>5</v>
      </c>
      <c r="C2" t="s">
        <v>5</v>
      </c>
      <c r="D2">
        <v>1</v>
      </c>
      <c r="E2">
        <v>1</v>
      </c>
    </row>
    <row r="3" spans="1:6" ht="181">
      <c r="A3" s="3" t="s">
        <v>43</v>
      </c>
      <c r="B3" t="s">
        <v>5</v>
      </c>
      <c r="C3" t="s">
        <v>5</v>
      </c>
      <c r="D3">
        <v>1</v>
      </c>
      <c r="E3">
        <v>1</v>
      </c>
    </row>
    <row r="4" spans="1:6" ht="196">
      <c r="A4" s="3" t="s">
        <v>44</v>
      </c>
      <c r="B4" t="s">
        <v>5</v>
      </c>
      <c r="C4" t="s">
        <v>5</v>
      </c>
      <c r="D4">
        <v>1</v>
      </c>
      <c r="E4">
        <v>1</v>
      </c>
    </row>
    <row r="5" spans="1:6" ht="136">
      <c r="A5" s="2" t="s">
        <v>45</v>
      </c>
      <c r="B5" t="s">
        <v>5</v>
      </c>
      <c r="C5" t="s">
        <v>5</v>
      </c>
      <c r="D5">
        <v>1</v>
      </c>
      <c r="E5">
        <v>1</v>
      </c>
    </row>
    <row r="6" spans="1:6" ht="91">
      <c r="A6" s="2" t="s">
        <v>46</v>
      </c>
      <c r="B6" t="s">
        <v>5</v>
      </c>
      <c r="C6" t="s">
        <v>5</v>
      </c>
      <c r="D6">
        <v>1</v>
      </c>
      <c r="E6">
        <v>1</v>
      </c>
    </row>
    <row r="7" spans="1:6" ht="136">
      <c r="A7" s="2" t="s">
        <v>47</v>
      </c>
      <c r="B7" t="s">
        <v>5</v>
      </c>
      <c r="C7" t="s">
        <v>5</v>
      </c>
      <c r="D7">
        <v>1</v>
      </c>
      <c r="E7">
        <v>1</v>
      </c>
    </row>
    <row r="8" spans="1:6" ht="106">
      <c r="A8" s="2" t="s">
        <v>48</v>
      </c>
      <c r="B8" t="s">
        <v>5</v>
      </c>
      <c r="C8" t="s">
        <v>5</v>
      </c>
      <c r="D8">
        <v>1</v>
      </c>
      <c r="E8">
        <v>1</v>
      </c>
    </row>
    <row r="9" spans="1:6" ht="121">
      <c r="A9" s="2" t="s">
        <v>49</v>
      </c>
      <c r="B9" t="s">
        <v>5</v>
      </c>
      <c r="C9" t="s">
        <v>5</v>
      </c>
      <c r="D9">
        <v>0</v>
      </c>
      <c r="E9">
        <v>0</v>
      </c>
    </row>
    <row r="10" spans="1:6" ht="271">
      <c r="A10" s="2" t="s">
        <v>50</v>
      </c>
      <c r="B10" t="s">
        <v>5</v>
      </c>
      <c r="C10" t="s">
        <v>5</v>
      </c>
      <c r="D10">
        <v>1</v>
      </c>
      <c r="E10">
        <v>1</v>
      </c>
    </row>
    <row r="11" spans="1:6" ht="256">
      <c r="A11" s="2" t="s">
        <v>51</v>
      </c>
      <c r="B11" t="s">
        <v>5</v>
      </c>
      <c r="C11" t="s">
        <v>5</v>
      </c>
      <c r="D11">
        <v>0</v>
      </c>
      <c r="E11">
        <v>0</v>
      </c>
    </row>
    <row r="12" spans="1:6" ht="241">
      <c r="A12" s="2" t="s">
        <v>52</v>
      </c>
      <c r="B12" t="s">
        <v>5</v>
      </c>
      <c r="C12" t="s">
        <v>5</v>
      </c>
      <c r="D12">
        <v>1</v>
      </c>
      <c r="E12">
        <v>1</v>
      </c>
    </row>
    <row r="13" spans="1:6" ht="256">
      <c r="A13" s="2" t="s">
        <v>53</v>
      </c>
      <c r="B13" t="s">
        <v>5</v>
      </c>
      <c r="C13" t="s">
        <v>5</v>
      </c>
      <c r="D13">
        <v>1</v>
      </c>
      <c r="E13">
        <v>1</v>
      </c>
    </row>
    <row r="14" spans="1:6" ht="136">
      <c r="A14" s="2" t="s">
        <v>54</v>
      </c>
      <c r="B14" t="s">
        <v>6</v>
      </c>
      <c r="C14" t="s">
        <v>5</v>
      </c>
      <c r="D14">
        <v>0</v>
      </c>
      <c r="E14">
        <v>1</v>
      </c>
    </row>
    <row r="15" spans="1:6" ht="136">
      <c r="A15" s="2" t="s">
        <v>54</v>
      </c>
      <c r="B15" t="s">
        <v>5</v>
      </c>
      <c r="C15" t="s">
        <v>5</v>
      </c>
      <c r="D15">
        <v>1</v>
      </c>
      <c r="E15">
        <v>1</v>
      </c>
    </row>
    <row r="16" spans="1:6" ht="136">
      <c r="A16" s="2" t="s">
        <v>54</v>
      </c>
      <c r="B16" t="s">
        <v>5</v>
      </c>
      <c r="C16" t="s">
        <v>5</v>
      </c>
      <c r="D16">
        <v>1</v>
      </c>
      <c r="E16">
        <v>1</v>
      </c>
    </row>
    <row r="17" spans="1:5" ht="136">
      <c r="A17" s="2" t="s">
        <v>54</v>
      </c>
      <c r="B17" t="s">
        <v>5</v>
      </c>
      <c r="C17" t="s">
        <v>6</v>
      </c>
      <c r="D17">
        <v>1</v>
      </c>
      <c r="E17">
        <v>0</v>
      </c>
    </row>
    <row r="18" spans="1:5" ht="136">
      <c r="A18" s="2" t="s">
        <v>54</v>
      </c>
      <c r="B18" t="s">
        <v>5</v>
      </c>
      <c r="C18" t="s">
        <v>5</v>
      </c>
      <c r="D18">
        <v>1</v>
      </c>
      <c r="E18">
        <v>1</v>
      </c>
    </row>
    <row r="19" spans="1:5" ht="136">
      <c r="A19" s="2" t="s">
        <v>55</v>
      </c>
      <c r="B19" t="s">
        <v>5</v>
      </c>
      <c r="C19" t="s">
        <v>5</v>
      </c>
      <c r="D19">
        <v>1</v>
      </c>
      <c r="E19">
        <v>1</v>
      </c>
    </row>
    <row r="20" spans="1:5" ht="121">
      <c r="A20" s="2" t="s">
        <v>56</v>
      </c>
      <c r="B20" t="s">
        <v>6</v>
      </c>
      <c r="C20" t="s">
        <v>6</v>
      </c>
      <c r="D20">
        <v>0</v>
      </c>
      <c r="E20">
        <v>0</v>
      </c>
    </row>
    <row r="21" spans="1:5" ht="241">
      <c r="A21" s="2" t="s">
        <v>57</v>
      </c>
      <c r="B21" t="s">
        <v>6</v>
      </c>
      <c r="C21" t="s">
        <v>6</v>
      </c>
      <c r="D21">
        <v>0</v>
      </c>
      <c r="E21">
        <v>0</v>
      </c>
    </row>
    <row r="22" spans="1:5" ht="241">
      <c r="A22" s="2" t="s">
        <v>57</v>
      </c>
      <c r="B22" t="s">
        <v>6</v>
      </c>
      <c r="C22" t="s">
        <v>6</v>
      </c>
      <c r="D22">
        <v>0</v>
      </c>
      <c r="E22">
        <v>0</v>
      </c>
    </row>
    <row r="23" spans="1:5" ht="106">
      <c r="A23" s="2" t="s">
        <v>58</v>
      </c>
      <c r="B23" t="s">
        <v>5</v>
      </c>
      <c r="C23" t="s">
        <v>5</v>
      </c>
      <c r="D23">
        <v>1</v>
      </c>
      <c r="E23">
        <v>1</v>
      </c>
    </row>
    <row r="24" spans="1:5" ht="106">
      <c r="A24" s="2" t="s">
        <v>58</v>
      </c>
      <c r="B24" t="s">
        <v>5</v>
      </c>
      <c r="C24" t="s">
        <v>6</v>
      </c>
      <c r="D24">
        <v>1</v>
      </c>
      <c r="E24">
        <v>0</v>
      </c>
    </row>
    <row r="25" spans="1:5" ht="136">
      <c r="A25" s="2" t="s">
        <v>59</v>
      </c>
      <c r="B25" t="s">
        <v>5</v>
      </c>
      <c r="C25" t="s">
        <v>5</v>
      </c>
      <c r="D25">
        <v>1</v>
      </c>
      <c r="E25">
        <v>1</v>
      </c>
    </row>
    <row r="26" spans="1:5" ht="136">
      <c r="A26" s="2" t="s">
        <v>59</v>
      </c>
      <c r="B26" t="s">
        <v>6</v>
      </c>
      <c r="C26" t="s">
        <v>6</v>
      </c>
      <c r="D26">
        <v>0</v>
      </c>
      <c r="E26">
        <v>0</v>
      </c>
    </row>
    <row r="27" spans="1:5" ht="136">
      <c r="A27" s="2" t="s">
        <v>59</v>
      </c>
      <c r="B27" t="s">
        <v>5</v>
      </c>
      <c r="C27" t="s">
        <v>5</v>
      </c>
      <c r="D27">
        <v>1</v>
      </c>
      <c r="E27">
        <v>0</v>
      </c>
    </row>
    <row r="28" spans="1:5" ht="136">
      <c r="A28" s="2" t="s">
        <v>59</v>
      </c>
      <c r="B28" t="s">
        <v>5</v>
      </c>
      <c r="C28" t="s">
        <v>6</v>
      </c>
      <c r="D28">
        <v>1</v>
      </c>
      <c r="E28">
        <v>0</v>
      </c>
    </row>
    <row r="29" spans="1:5" ht="106">
      <c r="A29" s="2" t="s">
        <v>48</v>
      </c>
      <c r="B29" t="s">
        <v>5</v>
      </c>
      <c r="C29" t="s">
        <v>5</v>
      </c>
      <c r="D29">
        <v>1</v>
      </c>
      <c r="E29">
        <v>1</v>
      </c>
    </row>
    <row r="30" spans="1:5" ht="121">
      <c r="A30" s="2" t="s">
        <v>60</v>
      </c>
      <c r="B30" t="s">
        <v>5</v>
      </c>
      <c r="C30" t="s">
        <v>5</v>
      </c>
      <c r="D30">
        <v>1</v>
      </c>
      <c r="E30">
        <v>1</v>
      </c>
    </row>
    <row r="31" spans="1:5" ht="121">
      <c r="A31" s="2" t="s">
        <v>60</v>
      </c>
      <c r="B31" t="s">
        <v>5</v>
      </c>
      <c r="C31" t="s">
        <v>5</v>
      </c>
      <c r="D31">
        <v>1</v>
      </c>
      <c r="E31">
        <v>1</v>
      </c>
    </row>
    <row r="32" spans="1:5" ht="121">
      <c r="A32" s="2" t="s">
        <v>60</v>
      </c>
      <c r="B32" t="s">
        <v>5</v>
      </c>
      <c r="C32" t="s">
        <v>5</v>
      </c>
      <c r="D32">
        <v>1</v>
      </c>
      <c r="E32">
        <v>1</v>
      </c>
    </row>
    <row r="33" spans="1:5" ht="121">
      <c r="A33" s="2" t="s">
        <v>49</v>
      </c>
      <c r="B33" t="s">
        <v>5</v>
      </c>
      <c r="C33" t="s">
        <v>5</v>
      </c>
      <c r="D33">
        <v>1</v>
      </c>
      <c r="E33">
        <v>1</v>
      </c>
    </row>
    <row r="34" spans="1:5" ht="271">
      <c r="A34" s="2" t="s">
        <v>50</v>
      </c>
      <c r="B34" t="s">
        <v>5</v>
      </c>
      <c r="C34" t="s">
        <v>5</v>
      </c>
      <c r="D34">
        <v>1</v>
      </c>
      <c r="E34">
        <v>1</v>
      </c>
    </row>
    <row r="35" spans="1:5" ht="256">
      <c r="A35" s="2" t="s">
        <v>51</v>
      </c>
      <c r="B35" t="s">
        <v>5</v>
      </c>
      <c r="C35" t="s">
        <v>5</v>
      </c>
      <c r="D35">
        <v>1</v>
      </c>
      <c r="E35">
        <v>1</v>
      </c>
    </row>
    <row r="36" spans="1:5" ht="241">
      <c r="A36" s="2" t="s">
        <v>61</v>
      </c>
      <c r="B36" t="s">
        <v>5</v>
      </c>
      <c r="C36" t="s">
        <v>5</v>
      </c>
      <c r="D36">
        <v>1</v>
      </c>
      <c r="E36">
        <v>1</v>
      </c>
    </row>
    <row r="37" spans="1:5" ht="256">
      <c r="A37" s="2" t="s">
        <v>62</v>
      </c>
      <c r="B37" t="s">
        <v>5</v>
      </c>
      <c r="C37" t="s">
        <v>5</v>
      </c>
      <c r="D37">
        <v>1</v>
      </c>
      <c r="E37">
        <v>1</v>
      </c>
    </row>
    <row r="38" spans="1:5" ht="151">
      <c r="A38" s="2" t="s">
        <v>63</v>
      </c>
      <c r="B38" t="s">
        <v>5</v>
      </c>
      <c r="C38" t="s">
        <v>5</v>
      </c>
      <c r="D38">
        <v>1</v>
      </c>
      <c r="E38">
        <v>1</v>
      </c>
    </row>
    <row r="39" spans="1:5" ht="151">
      <c r="A39" s="2" t="s">
        <v>63</v>
      </c>
      <c r="B39" t="s">
        <v>5</v>
      </c>
      <c r="C39" t="s">
        <v>5</v>
      </c>
      <c r="D39">
        <v>1</v>
      </c>
      <c r="E39">
        <v>1</v>
      </c>
    </row>
    <row r="40" spans="1:5" ht="106">
      <c r="A40" s="2" t="s">
        <v>64</v>
      </c>
      <c r="B40" t="s">
        <v>5</v>
      </c>
      <c r="C40" t="s">
        <v>5</v>
      </c>
      <c r="D40">
        <v>1</v>
      </c>
      <c r="E40">
        <v>1</v>
      </c>
    </row>
    <row r="41" spans="1:5" ht="136">
      <c r="A41" s="2" t="s">
        <v>65</v>
      </c>
      <c r="B41" t="s">
        <v>5</v>
      </c>
      <c r="C41" t="s">
        <v>5</v>
      </c>
      <c r="D41">
        <v>1</v>
      </c>
      <c r="E41">
        <v>1</v>
      </c>
    </row>
    <row r="42" spans="1:5" ht="61">
      <c r="A42" s="2" t="s">
        <v>66</v>
      </c>
      <c r="B42" t="s">
        <v>5</v>
      </c>
      <c r="C42" t="s">
        <v>5</v>
      </c>
      <c r="D42">
        <v>1</v>
      </c>
      <c r="E42">
        <v>1</v>
      </c>
    </row>
    <row r="43" spans="1:5" ht="61">
      <c r="A43" s="2" t="s">
        <v>66</v>
      </c>
      <c r="B43" t="s">
        <v>5</v>
      </c>
      <c r="C43" t="s">
        <v>5</v>
      </c>
      <c r="D43">
        <v>1</v>
      </c>
      <c r="E43">
        <v>1</v>
      </c>
    </row>
    <row r="44" spans="1:5" ht="61">
      <c r="A44" s="2" t="s">
        <v>66</v>
      </c>
      <c r="B44" t="s">
        <v>5</v>
      </c>
      <c r="C44" t="s">
        <v>5</v>
      </c>
      <c r="D44">
        <v>1</v>
      </c>
      <c r="E44">
        <v>1</v>
      </c>
    </row>
    <row r="45" spans="1:5" ht="136">
      <c r="A45" s="2" t="s">
        <v>67</v>
      </c>
      <c r="B45" t="s">
        <v>5</v>
      </c>
      <c r="C45" t="s">
        <v>5</v>
      </c>
      <c r="D45">
        <v>1</v>
      </c>
      <c r="E45">
        <v>1</v>
      </c>
    </row>
    <row r="46" spans="1:5">
      <c r="A46" s="4" t="s">
        <v>68</v>
      </c>
      <c r="B46" t="s">
        <v>5</v>
      </c>
      <c r="C46" t="s">
        <v>5</v>
      </c>
      <c r="D46">
        <v>1</v>
      </c>
      <c r="E46">
        <v>1</v>
      </c>
    </row>
    <row r="47" spans="1:5">
      <c r="A47" s="4" t="s">
        <v>69</v>
      </c>
      <c r="B47" t="s">
        <v>5</v>
      </c>
      <c r="C47" t="s">
        <v>5</v>
      </c>
      <c r="D47">
        <v>1</v>
      </c>
      <c r="E47">
        <v>1</v>
      </c>
    </row>
    <row r="48" spans="1:5">
      <c r="A48" s="4" t="s">
        <v>70</v>
      </c>
      <c r="B48" t="s">
        <v>5</v>
      </c>
      <c r="C48" t="s">
        <v>5</v>
      </c>
      <c r="D48">
        <v>1</v>
      </c>
      <c r="E48">
        <v>1</v>
      </c>
    </row>
    <row r="49" spans="1:5">
      <c r="A49" s="4" t="s">
        <v>71</v>
      </c>
      <c r="B49" t="s">
        <v>5</v>
      </c>
      <c r="C49" t="s">
        <v>5</v>
      </c>
      <c r="D49">
        <v>1</v>
      </c>
      <c r="E49">
        <v>1</v>
      </c>
    </row>
    <row r="50" spans="1:5">
      <c r="A50" s="4" t="s">
        <v>71</v>
      </c>
      <c r="B50" t="s">
        <v>5</v>
      </c>
      <c r="C50" t="s">
        <v>5</v>
      </c>
      <c r="D50">
        <v>1</v>
      </c>
      <c r="E50">
        <v>1</v>
      </c>
    </row>
    <row r="51" spans="1:5">
      <c r="A51" s="4" t="s">
        <v>71</v>
      </c>
      <c r="B51" t="s">
        <v>5</v>
      </c>
      <c r="C51" t="s">
        <v>5</v>
      </c>
      <c r="D51">
        <v>1</v>
      </c>
      <c r="E51">
        <v>1</v>
      </c>
    </row>
    <row r="52" spans="1:5">
      <c r="A52" s="4" t="s">
        <v>71</v>
      </c>
      <c r="B52" t="s">
        <v>5</v>
      </c>
      <c r="C52" t="s">
        <v>5</v>
      </c>
      <c r="D52">
        <v>1</v>
      </c>
      <c r="E52">
        <v>1</v>
      </c>
    </row>
    <row r="53" spans="1:5">
      <c r="A53" s="4" t="s">
        <v>72</v>
      </c>
      <c r="B53" t="s">
        <v>5</v>
      </c>
      <c r="C53" t="s">
        <v>5</v>
      </c>
      <c r="D53">
        <v>1</v>
      </c>
      <c r="E53">
        <v>1</v>
      </c>
    </row>
    <row r="54" spans="1:5">
      <c r="A54" s="4" t="s">
        <v>72</v>
      </c>
      <c r="B54" t="s">
        <v>5</v>
      </c>
      <c r="C54" t="s">
        <v>5</v>
      </c>
      <c r="D54">
        <v>1</v>
      </c>
      <c r="E54">
        <v>1</v>
      </c>
    </row>
    <row r="55" spans="1:5">
      <c r="A55" s="4" t="s">
        <v>72</v>
      </c>
      <c r="B55" t="s">
        <v>5</v>
      </c>
      <c r="C55" t="s">
        <v>5</v>
      </c>
      <c r="D55">
        <v>1</v>
      </c>
      <c r="E55">
        <v>1</v>
      </c>
    </row>
    <row r="56" spans="1:5">
      <c r="A56" s="4" t="s">
        <v>72</v>
      </c>
      <c r="B56" t="s">
        <v>5</v>
      </c>
      <c r="C56" t="s">
        <v>5</v>
      </c>
      <c r="D56">
        <v>1</v>
      </c>
      <c r="E56">
        <v>1</v>
      </c>
    </row>
    <row r="57" spans="1:5">
      <c r="A57" s="4" t="s">
        <v>73</v>
      </c>
      <c r="B57" t="s">
        <v>5</v>
      </c>
      <c r="C57" t="s">
        <v>5</v>
      </c>
      <c r="D57">
        <v>1</v>
      </c>
      <c r="E57">
        <v>1</v>
      </c>
    </row>
    <row r="58" spans="1:5">
      <c r="A58" s="4" t="s">
        <v>73</v>
      </c>
      <c r="B58" t="s">
        <v>5</v>
      </c>
      <c r="C58" t="s">
        <v>5</v>
      </c>
      <c r="D58">
        <v>1</v>
      </c>
      <c r="E58">
        <v>1</v>
      </c>
    </row>
    <row r="59" spans="1:5">
      <c r="A59" s="4" t="s">
        <v>73</v>
      </c>
      <c r="B59" t="s">
        <v>5</v>
      </c>
      <c r="C59" t="s">
        <v>5</v>
      </c>
      <c r="D59">
        <v>1</v>
      </c>
      <c r="E59">
        <v>1</v>
      </c>
    </row>
    <row r="60" spans="1:5">
      <c r="A60" s="4" t="s">
        <v>73</v>
      </c>
      <c r="B60" t="s">
        <v>5</v>
      </c>
      <c r="C60" t="s">
        <v>5</v>
      </c>
      <c r="D60">
        <v>1</v>
      </c>
      <c r="E60">
        <v>1</v>
      </c>
    </row>
    <row r="61" spans="1:5">
      <c r="A61" s="4" t="s">
        <v>73</v>
      </c>
      <c r="B61" t="s">
        <v>5</v>
      </c>
      <c r="C61" t="s">
        <v>5</v>
      </c>
      <c r="D61">
        <v>1</v>
      </c>
      <c r="E61">
        <v>1</v>
      </c>
    </row>
    <row r="62" spans="1:5">
      <c r="A62" s="4" t="s">
        <v>74</v>
      </c>
      <c r="B62" t="s">
        <v>5</v>
      </c>
      <c r="C62" t="s">
        <v>5</v>
      </c>
      <c r="D62">
        <v>1</v>
      </c>
      <c r="E62">
        <v>1</v>
      </c>
    </row>
    <row r="63" spans="1:5">
      <c r="A63" s="4" t="s">
        <v>74</v>
      </c>
      <c r="B63" t="s">
        <v>6</v>
      </c>
      <c r="C63" t="s">
        <v>5</v>
      </c>
      <c r="D63">
        <v>0</v>
      </c>
      <c r="E63">
        <v>1</v>
      </c>
    </row>
    <row r="64" spans="1:5">
      <c r="A64" s="4" t="s">
        <v>75</v>
      </c>
      <c r="B64" t="s">
        <v>6</v>
      </c>
      <c r="C64" t="s">
        <v>5</v>
      </c>
      <c r="D64">
        <v>0</v>
      </c>
      <c r="E64">
        <v>1</v>
      </c>
    </row>
    <row r="65" spans="1:5">
      <c r="A65" s="4" t="s">
        <v>75</v>
      </c>
      <c r="B65" t="s">
        <v>5</v>
      </c>
      <c r="C65" t="s">
        <v>5</v>
      </c>
      <c r="D65">
        <v>1</v>
      </c>
      <c r="E65">
        <v>1</v>
      </c>
    </row>
    <row r="66" spans="1:5">
      <c r="A66" s="5" t="s">
        <v>76</v>
      </c>
      <c r="B66" t="s">
        <v>5</v>
      </c>
      <c r="C66" t="s">
        <v>5</v>
      </c>
      <c r="D66">
        <v>1</v>
      </c>
      <c r="E66">
        <v>1</v>
      </c>
    </row>
    <row r="67" spans="1:5">
      <c r="A67" s="4" t="s">
        <v>77</v>
      </c>
      <c r="B67" t="s">
        <v>5</v>
      </c>
      <c r="C67" t="s">
        <v>5</v>
      </c>
      <c r="D67">
        <v>1</v>
      </c>
      <c r="E67">
        <v>1</v>
      </c>
    </row>
    <row r="68" spans="1:5">
      <c r="A68" s="4" t="s">
        <v>78</v>
      </c>
      <c r="B68" t="s">
        <v>5</v>
      </c>
      <c r="C68" t="s">
        <v>5</v>
      </c>
      <c r="D68">
        <v>1</v>
      </c>
      <c r="E68">
        <v>1</v>
      </c>
    </row>
    <row r="69" spans="1:5">
      <c r="A69" s="4" t="s">
        <v>79</v>
      </c>
      <c r="B69" t="s">
        <v>5</v>
      </c>
      <c r="C69" t="s">
        <v>5</v>
      </c>
      <c r="D69">
        <v>1</v>
      </c>
      <c r="E69">
        <v>1</v>
      </c>
    </row>
    <row r="70" spans="1:5">
      <c r="A70" s="4" t="s">
        <v>79</v>
      </c>
      <c r="B70" t="s">
        <v>5</v>
      </c>
      <c r="C70" t="s">
        <v>5</v>
      </c>
      <c r="D70">
        <v>1</v>
      </c>
      <c r="E70">
        <v>1</v>
      </c>
    </row>
    <row r="71" spans="1:5">
      <c r="A71" s="5" t="s">
        <v>80</v>
      </c>
      <c r="B71" t="s">
        <v>5</v>
      </c>
      <c r="C71" t="s">
        <v>5</v>
      </c>
      <c r="D71">
        <v>1</v>
      </c>
      <c r="E71">
        <v>1</v>
      </c>
    </row>
    <row r="72" spans="1:5">
      <c r="A72" s="5" t="s">
        <v>80</v>
      </c>
      <c r="B72" t="s">
        <v>5</v>
      </c>
      <c r="C72" t="s">
        <v>5</v>
      </c>
      <c r="D72">
        <v>1</v>
      </c>
      <c r="E72">
        <v>1</v>
      </c>
    </row>
    <row r="73" spans="1:5">
      <c r="A73" s="4" t="s">
        <v>81</v>
      </c>
      <c r="B73" t="s">
        <v>5</v>
      </c>
      <c r="C73" t="s">
        <v>5</v>
      </c>
      <c r="D73">
        <v>1</v>
      </c>
      <c r="E73">
        <v>1</v>
      </c>
    </row>
    <row r="74" spans="1:5">
      <c r="A74" s="4" t="s">
        <v>82</v>
      </c>
      <c r="B74" t="s">
        <v>5</v>
      </c>
      <c r="C74" t="s">
        <v>5</v>
      </c>
      <c r="D74">
        <v>1</v>
      </c>
      <c r="E74">
        <v>1</v>
      </c>
    </row>
    <row r="75" spans="1:5">
      <c r="A75" s="4" t="s">
        <v>83</v>
      </c>
      <c r="B75" t="s">
        <v>5</v>
      </c>
      <c r="C75" t="s">
        <v>5</v>
      </c>
      <c r="D75">
        <v>1</v>
      </c>
      <c r="E75">
        <v>1</v>
      </c>
    </row>
    <row r="76" spans="1:5">
      <c r="A76" s="4" t="s">
        <v>83</v>
      </c>
      <c r="B76" t="s">
        <v>5</v>
      </c>
      <c r="C76" t="s">
        <v>5</v>
      </c>
      <c r="D76">
        <v>1</v>
      </c>
      <c r="E76">
        <v>1</v>
      </c>
    </row>
    <row r="77" spans="1:5">
      <c r="A77" s="4" t="s">
        <v>84</v>
      </c>
      <c r="B77" t="s">
        <v>5</v>
      </c>
      <c r="C77" t="s">
        <v>5</v>
      </c>
      <c r="D77">
        <v>1</v>
      </c>
      <c r="E77">
        <v>1</v>
      </c>
    </row>
    <row r="78" spans="1:5">
      <c r="A78" s="4" t="s">
        <v>42</v>
      </c>
      <c r="B78" t="s">
        <v>5</v>
      </c>
      <c r="C78" t="s">
        <v>5</v>
      </c>
      <c r="D78">
        <v>1</v>
      </c>
      <c r="E78">
        <v>1</v>
      </c>
    </row>
    <row r="79" spans="1:5">
      <c r="A79" s="4" t="s">
        <v>42</v>
      </c>
      <c r="B79" t="s">
        <v>5</v>
      </c>
      <c r="C79" t="s">
        <v>5</v>
      </c>
      <c r="D79">
        <v>1</v>
      </c>
      <c r="E79">
        <v>1</v>
      </c>
    </row>
    <row r="80" spans="1:5">
      <c r="A80" s="4" t="s">
        <v>85</v>
      </c>
      <c r="B80" t="s">
        <v>5</v>
      </c>
      <c r="C80" t="s">
        <v>5</v>
      </c>
      <c r="D80">
        <v>1</v>
      </c>
      <c r="E80">
        <v>1</v>
      </c>
    </row>
    <row r="81" spans="1:5">
      <c r="A81" s="4" t="s">
        <v>86</v>
      </c>
      <c r="B81" t="s">
        <v>5</v>
      </c>
      <c r="C81" t="s">
        <v>5</v>
      </c>
      <c r="D81">
        <v>1</v>
      </c>
      <c r="E81">
        <v>1</v>
      </c>
    </row>
    <row r="82" spans="1:5">
      <c r="A82" s="4" t="s">
        <v>86</v>
      </c>
      <c r="B82" t="s">
        <v>5</v>
      </c>
      <c r="C82" t="s">
        <v>5</v>
      </c>
      <c r="D82">
        <v>1</v>
      </c>
      <c r="E82">
        <v>1</v>
      </c>
    </row>
    <row r="83" spans="1:5">
      <c r="A83" s="4" t="s">
        <v>87</v>
      </c>
      <c r="B83" t="s">
        <v>6</v>
      </c>
      <c r="C83" t="s">
        <v>5</v>
      </c>
      <c r="D83">
        <v>0</v>
      </c>
      <c r="E83">
        <v>1</v>
      </c>
    </row>
    <row r="84" spans="1:5">
      <c r="A84" s="4" t="s">
        <v>46</v>
      </c>
      <c r="B84" t="s">
        <v>6</v>
      </c>
      <c r="C84" t="s">
        <v>5</v>
      </c>
      <c r="D84">
        <v>0</v>
      </c>
      <c r="E84">
        <v>1</v>
      </c>
    </row>
    <row r="85" spans="1:5">
      <c r="A85" s="4" t="s">
        <v>46</v>
      </c>
      <c r="B85" t="s">
        <v>5</v>
      </c>
      <c r="C85" t="s">
        <v>5</v>
      </c>
      <c r="D85">
        <v>1</v>
      </c>
      <c r="E85">
        <v>1</v>
      </c>
    </row>
    <row r="86" spans="1:5">
      <c r="A86" s="4" t="s">
        <v>46</v>
      </c>
      <c r="B86" t="s">
        <v>5</v>
      </c>
      <c r="C86" t="s">
        <v>5</v>
      </c>
      <c r="D86">
        <v>1</v>
      </c>
      <c r="E86">
        <v>1</v>
      </c>
    </row>
    <row r="87" spans="1:5">
      <c r="A87" s="4" t="s">
        <v>46</v>
      </c>
      <c r="B87" t="s">
        <v>5</v>
      </c>
      <c r="C87" t="s">
        <v>5</v>
      </c>
      <c r="D87">
        <v>1</v>
      </c>
      <c r="E87">
        <v>1</v>
      </c>
    </row>
    <row r="88" spans="1:5">
      <c r="A88" s="4" t="s">
        <v>46</v>
      </c>
      <c r="B88" t="s">
        <v>5</v>
      </c>
      <c r="C88" t="s">
        <v>5</v>
      </c>
      <c r="D88">
        <v>1</v>
      </c>
      <c r="E88">
        <v>1</v>
      </c>
    </row>
    <row r="89" spans="1:5" ht="181">
      <c r="A89" s="2" t="s">
        <v>42</v>
      </c>
      <c r="B89" t="s">
        <v>5</v>
      </c>
      <c r="C89" t="s">
        <v>5</v>
      </c>
      <c r="D89">
        <v>1</v>
      </c>
      <c r="E89">
        <v>1</v>
      </c>
    </row>
    <row r="90" spans="1:5" ht="166">
      <c r="A90" s="2" t="s">
        <v>85</v>
      </c>
      <c r="B90" t="s">
        <v>5</v>
      </c>
      <c r="C90" t="s">
        <v>5</v>
      </c>
      <c r="D90">
        <v>1</v>
      </c>
      <c r="E90">
        <v>1</v>
      </c>
    </row>
    <row r="91" spans="1:5" ht="166">
      <c r="A91" s="2" t="s">
        <v>88</v>
      </c>
      <c r="B91" t="s">
        <v>5</v>
      </c>
      <c r="C91" t="s">
        <v>5</v>
      </c>
      <c r="D91">
        <v>1</v>
      </c>
      <c r="E91">
        <v>1</v>
      </c>
    </row>
    <row r="92" spans="1:5" ht="106">
      <c r="A92" s="2" t="s">
        <v>89</v>
      </c>
      <c r="B92" t="s">
        <v>5</v>
      </c>
      <c r="C92" t="s">
        <v>5</v>
      </c>
      <c r="D92">
        <v>1</v>
      </c>
      <c r="E92">
        <v>1</v>
      </c>
    </row>
    <row r="93" spans="1:5" ht="136">
      <c r="A93" s="2" t="s">
        <v>90</v>
      </c>
      <c r="B93" t="s">
        <v>5</v>
      </c>
      <c r="C93" t="s">
        <v>5</v>
      </c>
      <c r="D93">
        <v>1</v>
      </c>
      <c r="E93">
        <v>1</v>
      </c>
    </row>
    <row r="94" spans="1:5" ht="136">
      <c r="A94" s="2" t="s">
        <v>91</v>
      </c>
      <c r="B94" t="s">
        <v>5</v>
      </c>
      <c r="C94" t="s">
        <v>5</v>
      </c>
      <c r="D94">
        <v>1</v>
      </c>
      <c r="E94">
        <v>1</v>
      </c>
    </row>
    <row r="95" spans="1:5" ht="106">
      <c r="A95" s="2" t="s">
        <v>92</v>
      </c>
      <c r="B95" t="s">
        <v>5</v>
      </c>
      <c r="C95" t="s">
        <v>5</v>
      </c>
      <c r="D95">
        <v>1</v>
      </c>
      <c r="E95">
        <v>1</v>
      </c>
    </row>
    <row r="96" spans="1:5" ht="136">
      <c r="A96" s="2" t="s">
        <v>93</v>
      </c>
      <c r="B96" t="s">
        <v>5</v>
      </c>
      <c r="C96" t="s">
        <v>5</v>
      </c>
      <c r="D96">
        <v>1</v>
      </c>
      <c r="E96">
        <v>1</v>
      </c>
    </row>
    <row r="97" spans="1:5" ht="136">
      <c r="A97" s="2" t="s">
        <v>94</v>
      </c>
      <c r="B97" t="s">
        <v>5</v>
      </c>
      <c r="C97" t="s">
        <v>5</v>
      </c>
      <c r="D97">
        <v>1</v>
      </c>
      <c r="E97">
        <v>1</v>
      </c>
    </row>
    <row r="98" spans="1:5" ht="91">
      <c r="A98" s="2" t="s">
        <v>95</v>
      </c>
      <c r="B98" t="s">
        <v>5</v>
      </c>
      <c r="C98" t="s">
        <v>5</v>
      </c>
      <c r="D98">
        <v>1</v>
      </c>
      <c r="E98">
        <v>1</v>
      </c>
    </row>
    <row r="99" spans="1:5" ht="91">
      <c r="A99" s="2" t="s">
        <v>95</v>
      </c>
      <c r="B99" t="s">
        <v>5</v>
      </c>
      <c r="C99" t="s">
        <v>5</v>
      </c>
      <c r="D99">
        <v>1</v>
      </c>
      <c r="E99">
        <v>1</v>
      </c>
    </row>
    <row r="100" spans="1:5" ht="121">
      <c r="A100" s="2" t="s">
        <v>96</v>
      </c>
      <c r="B100" t="s">
        <v>5</v>
      </c>
      <c r="C100" t="s">
        <v>5</v>
      </c>
      <c r="D100">
        <v>1</v>
      </c>
      <c r="E100">
        <v>1</v>
      </c>
    </row>
    <row r="101" spans="1:5" ht="121">
      <c r="A101" s="2" t="s">
        <v>97</v>
      </c>
      <c r="B101" t="s">
        <v>5</v>
      </c>
      <c r="C101" t="s">
        <v>5</v>
      </c>
      <c r="D101">
        <v>1</v>
      </c>
      <c r="E101">
        <v>1</v>
      </c>
    </row>
    <row r="102" spans="1:5" ht="121">
      <c r="A102" s="2" t="s">
        <v>98</v>
      </c>
      <c r="B102" t="s">
        <v>5</v>
      </c>
      <c r="C102" t="s">
        <v>5</v>
      </c>
      <c r="D102">
        <v>1</v>
      </c>
      <c r="E102">
        <v>1</v>
      </c>
    </row>
    <row r="103" spans="1:5" ht="121">
      <c r="A103" s="2" t="s">
        <v>98</v>
      </c>
      <c r="B103" t="s">
        <v>6</v>
      </c>
      <c r="C103" t="s">
        <v>5</v>
      </c>
      <c r="D103">
        <v>0</v>
      </c>
      <c r="E103">
        <v>1</v>
      </c>
    </row>
    <row r="104" spans="1:5" ht="121">
      <c r="A104" s="2" t="s">
        <v>99</v>
      </c>
      <c r="B104" t="s">
        <v>6</v>
      </c>
      <c r="C104" t="s">
        <v>5</v>
      </c>
      <c r="D104">
        <v>0</v>
      </c>
      <c r="E104">
        <v>1</v>
      </c>
    </row>
    <row r="105" spans="1:5" ht="76">
      <c r="A105" s="2" t="s">
        <v>87</v>
      </c>
      <c r="B105" t="s">
        <v>5</v>
      </c>
      <c r="C105" t="s">
        <v>5</v>
      </c>
      <c r="D105">
        <v>1</v>
      </c>
      <c r="E105">
        <v>1</v>
      </c>
    </row>
    <row r="106" spans="1:5" ht="91">
      <c r="A106" s="2" t="s">
        <v>46</v>
      </c>
      <c r="B106" t="s">
        <v>5</v>
      </c>
      <c r="C106" t="s">
        <v>5</v>
      </c>
      <c r="D106">
        <v>1</v>
      </c>
      <c r="E106">
        <v>1</v>
      </c>
    </row>
    <row r="107" spans="1:5" ht="91">
      <c r="A107" s="2" t="s">
        <v>46</v>
      </c>
      <c r="B107" t="s">
        <v>5</v>
      </c>
      <c r="C107" t="s">
        <v>5</v>
      </c>
      <c r="D107">
        <v>1</v>
      </c>
      <c r="E107">
        <v>1</v>
      </c>
    </row>
    <row r="108" spans="1:5" ht="91">
      <c r="A108" s="2" t="s">
        <v>46</v>
      </c>
      <c r="B108" t="s">
        <v>5</v>
      </c>
      <c r="C108" t="s">
        <v>5</v>
      </c>
      <c r="D108">
        <v>1</v>
      </c>
      <c r="E108">
        <v>1</v>
      </c>
    </row>
    <row r="109" spans="1:5" ht="91">
      <c r="A109" s="2" t="s">
        <v>46</v>
      </c>
      <c r="B109" t="s">
        <v>5</v>
      </c>
      <c r="C109" t="s">
        <v>5</v>
      </c>
      <c r="D109">
        <v>1</v>
      </c>
      <c r="E109">
        <v>1</v>
      </c>
    </row>
    <row r="110" spans="1:5" ht="91">
      <c r="A110" s="2" t="s">
        <v>46</v>
      </c>
      <c r="B110" t="s">
        <v>5</v>
      </c>
      <c r="C110" t="s">
        <v>5</v>
      </c>
      <c r="D110">
        <v>1</v>
      </c>
      <c r="E1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3" sqref="B3"/>
    </sheetView>
  </sheetViews>
  <sheetFormatPr baseColWidth="10" defaultColWidth="8.83203125" defaultRowHeight="15"/>
  <sheetData>
    <row r="1" spans="1:7">
      <c r="A1" t="s">
        <v>8</v>
      </c>
    </row>
    <row r="2" spans="1:7">
      <c r="F2" t="s">
        <v>18</v>
      </c>
      <c r="G2">
        <f>B4</f>
        <v>52</v>
      </c>
    </row>
    <row r="3" spans="1:7">
      <c r="B3" t="s">
        <v>9</v>
      </c>
      <c r="C3" t="s">
        <v>10</v>
      </c>
      <c r="F3" t="s">
        <v>19</v>
      </c>
      <c r="G3">
        <f>C4</f>
        <v>3</v>
      </c>
    </row>
    <row r="4" spans="1:7">
      <c r="A4" t="s">
        <v>11</v>
      </c>
      <c r="B4">
        <f>COUNTIFS(Data!$B$2:$B$61,"TP",Data!$C$2:$C$61,"TP")</f>
        <v>52</v>
      </c>
      <c r="C4">
        <f>COUNTIFS(Data!$B$2:$B$61,"TP",Data!$C$2:$C$61,"FP")</f>
        <v>3</v>
      </c>
      <c r="D4">
        <f>SUM(B4:C4)</f>
        <v>55</v>
      </c>
      <c r="F4" t="s">
        <v>20</v>
      </c>
      <c r="G4">
        <f>B5</f>
        <v>1</v>
      </c>
    </row>
    <row r="5" spans="1:7">
      <c r="A5" t="s">
        <v>12</v>
      </c>
      <c r="B5">
        <f>COUNTIFS(Data!$B$2:$B$61,"FP",Data!$C$2:$C$61,"TP")</f>
        <v>1</v>
      </c>
      <c r="C5">
        <f>COUNTIFS(Data!$B$2:$B$61,"FP",Data!$C$2:$C$61,"FP")</f>
        <v>4</v>
      </c>
      <c r="D5">
        <f>SUM(B5:C5)</f>
        <v>5</v>
      </c>
      <c r="F5" t="s">
        <v>21</v>
      </c>
      <c r="G5">
        <f>C5</f>
        <v>4</v>
      </c>
    </row>
    <row r="6" spans="1:7">
      <c r="A6" t="s">
        <v>13</v>
      </c>
      <c r="B6">
        <f>SUM(B4:B5)</f>
        <v>53</v>
      </c>
      <c r="C6">
        <f>SUM(C4:C5)</f>
        <v>7</v>
      </c>
      <c r="D6">
        <f>SUM(B6:C6)</f>
        <v>60</v>
      </c>
      <c r="F6" t="s">
        <v>22</v>
      </c>
      <c r="G6">
        <f>D6</f>
        <v>60</v>
      </c>
    </row>
    <row r="7" spans="1:7">
      <c r="A7" t="s">
        <v>13</v>
      </c>
    </row>
    <row r="8" spans="1:7">
      <c r="F8" t="s">
        <v>23</v>
      </c>
      <c r="G8">
        <f>D4</f>
        <v>55</v>
      </c>
    </row>
    <row r="9" spans="1:7">
      <c r="A9" t="s">
        <v>14</v>
      </c>
      <c r="B9">
        <f>(B4+C5)/D6</f>
        <v>0.93333333333333335</v>
      </c>
      <c r="F9" t="s">
        <v>24</v>
      </c>
      <c r="G9">
        <f>D5</f>
        <v>5</v>
      </c>
    </row>
    <row r="10" spans="1:7">
      <c r="A10" t="s">
        <v>15</v>
      </c>
      <c r="B10">
        <f>(G8*G10 + G9*G11)/(G6*G6)</f>
        <v>0.81944444444444442</v>
      </c>
      <c r="F10" t="s">
        <v>25</v>
      </c>
      <c r="G10">
        <f>B6</f>
        <v>53</v>
      </c>
    </row>
    <row r="11" spans="1:7">
      <c r="A11" t="s">
        <v>16</v>
      </c>
      <c r="B11">
        <f>(B9-B10)/(1-B10)</f>
        <v>0.63076923076923086</v>
      </c>
      <c r="F11" t="s">
        <v>26</v>
      </c>
      <c r="G11">
        <f>C6</f>
        <v>7</v>
      </c>
    </row>
    <row r="12" spans="1:7">
      <c r="A12" t="s">
        <v>17</v>
      </c>
      <c r="B12">
        <f>B9</f>
        <v>0.93333333333333335</v>
      </c>
      <c r="C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activeCell="C4" sqref="C4"/>
    </sheetView>
  </sheetViews>
  <sheetFormatPr baseColWidth="10" defaultColWidth="8.83203125" defaultRowHeight="15"/>
  <sheetData>
    <row r="1" spans="1:4">
      <c r="A1" t="s">
        <v>28</v>
      </c>
    </row>
    <row r="3" spans="1:4">
      <c r="A3" t="s">
        <v>29</v>
      </c>
      <c r="B3" t="s">
        <v>30</v>
      </c>
      <c r="C3" t="s">
        <v>31</v>
      </c>
      <c r="D3" t="s">
        <v>22</v>
      </c>
    </row>
    <row r="4" spans="1:4">
      <c r="A4" t="s">
        <v>32</v>
      </c>
      <c r="B4">
        <f>AVERAGE(Data!$D$2:$D$61)</f>
        <v>0.8833333333333333</v>
      </c>
      <c r="C4" t="e">
        <f ca="1">_xludf.STDEV.S(Data!$D$2:$D$61)</f>
        <v>#NAME?</v>
      </c>
      <c r="D4">
        <f>COUNT(Data!$D$2:$D$61)</f>
        <v>60</v>
      </c>
    </row>
    <row r="5" spans="1:4">
      <c r="A5" t="s">
        <v>33</v>
      </c>
      <c r="B5">
        <f>AVERAGE(Data!$E$2:$E$61)</f>
        <v>0.83333333333333337</v>
      </c>
      <c r="C5" t="e">
        <f ca="1">_xludf.STDEV.S(Data!$E$2:$E$61)</f>
        <v>#NAME?</v>
      </c>
      <c r="D5">
        <f>COUNT(Data!$E$2:$E$61)</f>
        <v>60</v>
      </c>
    </row>
    <row r="7" spans="1:4">
      <c r="A7" t="s">
        <v>34</v>
      </c>
      <c r="B7" t="e">
        <f ca="1">(B4 - B5) / B8</f>
        <v>#NAME?</v>
      </c>
    </row>
    <row r="8" spans="1:4">
      <c r="A8" t="s">
        <v>35</v>
      </c>
      <c r="B8" t="e">
        <f ca="1">SQRT(((D4-1)*C4*C4 + (D5-1)*C5*C5) / (D4 + D5 - 2))</f>
        <v>#NAME?</v>
      </c>
    </row>
    <row r="10" spans="1:4">
      <c r="A1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>
      <selection activeCell="A3" sqref="A3:A7"/>
    </sheetView>
  </sheetViews>
  <sheetFormatPr baseColWidth="10" defaultColWidth="8.83203125" defaultRowHeight="15"/>
  <sheetData>
    <row r="1" spans="1:1">
      <c r="A1" t="s">
        <v>37</v>
      </c>
    </row>
    <row r="8" spans="1:1">
      <c r="A8" t="s">
        <v>38</v>
      </c>
    </row>
    <row r="9" spans="1:1">
      <c r="A9" t="s">
        <v>39</v>
      </c>
    </row>
    <row r="10" spans="1:1">
      <c r="A10" t="s">
        <v>40</v>
      </c>
    </row>
    <row r="11" spans="1:1">
      <c r="A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Agreement</vt:lpstr>
      <vt:lpstr>EffectSize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Mahmoudi Sandra</cp:lastModifiedBy>
  <dcterms:created xsi:type="dcterms:W3CDTF">2025-09-30T16:24:17Z</dcterms:created>
  <dcterms:modified xsi:type="dcterms:W3CDTF">2025-09-30T16:42:51Z</dcterms:modified>
</cp:coreProperties>
</file>